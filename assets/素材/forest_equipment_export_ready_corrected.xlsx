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equipment_master" sheetId="3" state="visible" r:id="rId3"/>
    <sheet xmlns:r="http://schemas.openxmlformats.org/officeDocument/2006/relationships" name="export_ready" sheetId="4" state="visible" r:id="rId4"/>
    <sheet xmlns:r="http://schemas.openxmlformats.org/officeDocument/2006/relationships" name="field_map" sheetId="5" state="visible" r:id="rId5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0%"/>
  </numFmts>
  <fonts count="7"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rgb="FFFFFFFF"/>
      <sz val="14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1"/>
      <color rgb="FF0000FF"/>
      <sz val="11"/>
    </font>
    <font>
      <name val="新細明體"/>
      <charset val="136"/>
      <family val="1"/>
      <color rgb="FF000000"/>
      <sz val="11"/>
    </font>
    <font>
      <name val="新細明體"/>
      <charset val="136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EAF2E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quipmentMaster" displayName="EquipmentMaster" ref="A1:X31" headerRowCount="1">
  <autoFilter ref="A1:X31"/>
  <tableColumns count="24">
    <tableColumn id="1" name="id"/>
    <tableColumn id="2" name="name"/>
    <tableColumn id="3" name="category"/>
    <tableColumn id="4" name="type"/>
    <tableColumn id="5" name="source"/>
    <tableColumn id="6" name="rarity"/>
    <tableColumn id="7" name="texture"/>
    <tableColumn id="8" name="icon"/>
    <tableColumn id="9" name="placeable"/>
    <tableColumn id="10" name="effectType"/>
    <tableColumn id="11" name="effectValue"/>
    <tableColumn id="12" name="effectType2"/>
    <tableColumn id="13" name="effectValue2"/>
    <tableColumn id="14" name="rewardRate"/>
    <tableColumn id="15" name="dropRate"/>
    <tableColumn id="16" name="extraPlayCount"/>
    <tableColumn id="17" name="unlockType"/>
    <tableColumn id="18" name="desc"/>
    <tableColumn id="19" name="status"/>
    <tableColumn id="20" name="notes"/>
    <tableColumn id="21" name="exportEnabled"/>
    <tableColumn id="22" name="sortOrder"/>
    <tableColumn id="23" name="gameKey"/>
    <tableColumn id="24" name="json_p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4.5"/>
  <cols>
    <col width="16" customWidth="1" style="17" min="1" max="1"/>
    <col width="90" customWidth="1" style="17" min="2" max="2"/>
  </cols>
  <sheetData>
    <row r="1" ht="19.5" customHeight="1" s="17">
      <c r="A1" s="16" t="inlineStr">
        <is>
          <t>森林益智樂園｜裝備資料匯出工作簿</t>
        </is>
      </c>
    </row>
    <row r="3" ht="29" customHeight="1" s="17">
      <c r="A3" s="1" t="inlineStr">
        <is>
          <t>用途</t>
        </is>
      </c>
      <c r="B3" s="2" t="inlineStr">
        <is>
          <t>這份表已升級成可直接整理為遊戲資料的版本。編輯 equipment_master 後，可從 export_ready 複製資料，或讀取 json_preview 欄位匯出。</t>
        </is>
      </c>
    </row>
    <row r="4">
      <c r="A4" s="1" t="inlineStr">
        <is>
          <t>你主要要改</t>
        </is>
      </c>
      <c r="B4" s="2" t="inlineStr">
        <is>
          <t>equipment_master 工作表中的藍底輸入欄位</t>
        </is>
      </c>
    </row>
    <row r="5">
      <c r="A5" s="1" t="inlineStr">
        <is>
          <t>下拉選單</t>
        </is>
      </c>
      <c r="B5" s="2" t="inlineStr">
        <is>
          <t>source / rarity / type / unlockType / effectType / status 都已設定資料驗證</t>
        </is>
      </c>
    </row>
    <row r="6">
      <c r="A6" s="1" t="inlineStr">
        <is>
          <t>直接匯出</t>
        </is>
      </c>
      <c r="B6" s="2" t="inlineStr">
        <is>
          <t>export_ready 為遊戲端建議使用欄位；json_preview 為每列 JSON 預覽</t>
        </is>
      </c>
    </row>
    <row r="7" ht="29" customHeight="1" s="17">
      <c r="A7" s="1" t="inlineStr">
        <is>
          <t>建議流程</t>
        </is>
      </c>
      <c r="B7" s="2" t="inlineStr">
        <is>
          <t>先新增/修改裝備 -&gt; 勾選 exportEnabled -&gt; 依 sortOrder 排序 -&gt; 匯出 export_ready 或讀取 json_preview</t>
        </is>
      </c>
    </row>
    <row r="8">
      <c r="A8" s="1" t="inlineStr">
        <is>
          <t>備註</t>
        </is>
      </c>
      <c r="B8" s="2" t="inlineStr">
        <is>
          <t>若要讓程式匯入，建議只讀取 export_ready 中 id 不為空的列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4.5"/>
  <cols>
    <col width="14" customWidth="1" style="17" min="1" max="1"/>
    <col width="15" customWidth="1" style="17" min="2" max="2"/>
    <col width="14" customWidth="1" style="17" min="3" max="3"/>
    <col width="16" customWidth="1" style="17" min="4" max="4"/>
    <col width="14" customWidth="1" style="17" min="5" max="7"/>
  </cols>
  <sheetData>
    <row r="1">
      <c r="A1" s="3" t="inlineStr">
        <is>
          <t>type</t>
        </is>
      </c>
      <c r="B1" s="3" t="inlineStr">
        <is>
          <t>source</t>
        </is>
      </c>
      <c r="C1" s="3" t="inlineStr">
        <is>
          <t>rarity</t>
        </is>
      </c>
      <c r="D1" s="3" t="inlineStr">
        <is>
          <t>effectType</t>
        </is>
      </c>
      <c r="E1" s="3" t="inlineStr">
        <is>
          <t>unlockType</t>
        </is>
      </c>
      <c r="F1" s="3" t="inlineStr">
        <is>
          <t>status</t>
        </is>
      </c>
      <c r="G1" s="3" t="inlineStr">
        <is>
          <t>bool</t>
        </is>
      </c>
    </row>
    <row r="2">
      <c r="A2" s="4" t="inlineStr">
        <is>
          <t>hat</t>
        </is>
      </c>
      <c r="B2" s="4" t="inlineStr">
        <is>
          <t>starter</t>
        </is>
      </c>
      <c r="C2" s="4" t="inlineStr">
        <is>
          <t>common</t>
        </is>
      </c>
      <c r="D2" s="4" t="inlineStr">
        <is>
          <t>none</t>
        </is>
      </c>
      <c r="E2" s="4" t="inlineStr">
        <is>
          <t>starter</t>
        </is>
      </c>
      <c r="F2" s="4" t="inlineStr">
        <is>
          <t>規劃中</t>
        </is>
      </c>
      <c r="G2" s="4" t="inlineStr">
        <is>
          <t>TRUE</t>
        </is>
      </c>
    </row>
    <row r="3">
      <c r="A3" s="4" t="inlineStr">
        <is>
          <t>cloth</t>
        </is>
      </c>
      <c r="B3" s="4" t="inlineStr">
        <is>
          <t>treasure</t>
        </is>
      </c>
      <c r="C3" s="4" t="inlineStr">
        <is>
          <t>rare</t>
        </is>
      </c>
      <c r="D3" s="4" t="inlineStr">
        <is>
          <t>rewardRate</t>
        </is>
      </c>
      <c r="E3" s="4" t="inlineStr">
        <is>
          <t>drop</t>
        </is>
      </c>
      <c r="F3" s="4" t="inlineStr">
        <is>
          <t>測試中</t>
        </is>
      </c>
      <c r="G3" s="4" t="inlineStr">
        <is>
          <t>FALSE</t>
        </is>
      </c>
    </row>
    <row r="4">
      <c r="A4" s="4" t="inlineStr">
        <is>
          <t>fullset</t>
        </is>
      </c>
      <c r="B4" s="4" t="inlineStr">
        <is>
          <t>firefly</t>
        </is>
      </c>
      <c r="C4" s="4" t="inlineStr">
        <is>
          <t>epic</t>
        </is>
      </c>
      <c r="D4" s="4" t="inlineStr">
        <is>
          <t>dropRate</t>
        </is>
      </c>
      <c r="E4" s="4" t="inlineStr">
        <is>
          <t>shop</t>
        </is>
      </c>
      <c r="F4" s="4" t="inlineStr">
        <is>
          <t>已實作</t>
        </is>
      </c>
    </row>
    <row r="5">
      <c r="A5" s="4" t="inlineStr">
        <is>
          <t>tool</t>
        </is>
      </c>
      <c r="B5" s="4" t="inlineStr">
        <is>
          <t>campfire</t>
        </is>
      </c>
      <c r="C5" s="4" t="inlineStr">
        <is>
          <t>legendary</t>
        </is>
      </c>
      <c r="D5" s="4" t="inlineStr">
        <is>
          <t>extraPlayCount</t>
        </is>
      </c>
      <c r="E5" s="4" t="inlineStr">
        <is>
          <t>achievement</t>
        </is>
      </c>
      <c r="F5" s="4" t="inlineStr">
        <is>
          <t>停用</t>
        </is>
      </c>
    </row>
    <row r="6">
      <c r="B6" s="4" t="inlineStr">
        <is>
          <t>constellation</t>
        </is>
      </c>
      <c r="D6" s="4" t="inlineStr">
        <is>
          <t>revealHint</t>
        </is>
      </c>
      <c r="E6" s="4" t="inlineStr">
        <is>
          <t>reputation</t>
        </is>
      </c>
    </row>
    <row r="7">
      <c r="B7" s="4" t="inlineStr">
        <is>
          <t>animals</t>
        </is>
      </c>
      <c r="D7" s="4" t="inlineStr">
        <is>
          <t>rareDropRate</t>
        </is>
      </c>
      <c r="E7" s="4" t="inlineStr">
        <is>
          <t>secret</t>
        </is>
      </c>
    </row>
    <row r="8">
      <c r="B8" s="4" t="inlineStr">
        <is>
          <t>global</t>
        </is>
      </c>
      <c r="D8" s="4" t="inlineStr">
        <is>
          <t>timeBonus</t>
        </is>
      </c>
      <c r="E8" s="4" t="inlineStr">
        <is>
          <t>event</t>
        </is>
      </c>
    </row>
    <row r="9">
      <c r="B9" s="4" t="inlineStr">
        <is>
          <t>secret</t>
        </is>
      </c>
      <c r="D9" s="4" t="inlineStr">
        <is>
          <t>extraMistake</t>
        </is>
      </c>
    </row>
    <row r="10">
      <c r="D10" s="4" t="inlineStr">
        <is>
          <t>chestRate</t>
        </is>
      </c>
    </row>
    <row r="11">
      <c r="D11" s="4" t="inlineStr">
        <is>
          <t>memoryHelp</t>
        </is>
      </c>
    </row>
    <row r="12">
      <c r="D12" s="4" t="inlineStr">
        <is>
          <t>slowDown</t>
        </is>
      </c>
    </row>
    <row r="13">
      <c r="D13" s="4" t="inlineStr">
        <is>
          <t>freeEntry</t>
        </is>
      </c>
    </row>
    <row r="14">
      <c r="D14" s="4" t="inlineStr">
        <is>
          <t>freeStageEntry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0" tabSelected="1" workbookViewId="0">
      <pane ySplit="1" topLeftCell="A3" activePane="bottomLeft" state="frozen"/>
      <selection pane="bottomLeft" activeCell="E5" sqref="E5"/>
    </sheetView>
  </sheetViews>
  <sheetFormatPr baseColWidth="8" defaultColWidth="65.09765625" defaultRowHeight="14.5"/>
  <cols>
    <col width="27.19921875" bestFit="1" customWidth="1" style="17" min="1" max="1"/>
    <col width="15" bestFit="1" customWidth="1" style="17" min="2" max="2"/>
    <col width="14.19921875" bestFit="1" customWidth="1" style="17" min="3" max="3"/>
    <col width="10.296875" bestFit="1" customWidth="1" style="17" min="4" max="4"/>
    <col width="12.296875" bestFit="1" customWidth="1" style="17" min="5" max="5"/>
    <col width="11.5" bestFit="1" customWidth="1" style="17" min="6" max="6"/>
    <col width="20.59765625" bestFit="1" customWidth="1" style="17" min="7" max="7"/>
    <col width="25.3984375" bestFit="1" customWidth="1" style="17" min="8" max="8"/>
    <col width="15" bestFit="1" customWidth="1" style="17" min="9" max="9"/>
    <col width="16.3984375" bestFit="1" customWidth="1" style="17" min="10" max="10"/>
    <col width="17.296875" bestFit="1" customWidth="1" style="17" min="11" max="11"/>
    <col width="17.59765625" bestFit="1" customWidth="1" style="17" min="12" max="12"/>
    <col width="18.5" bestFit="1" customWidth="1" style="17" min="13" max="13"/>
    <col width="17.09765625" bestFit="1" customWidth="1" style="17" min="14" max="14"/>
    <col width="14.69921875" bestFit="1" customWidth="1" style="17" min="15" max="15"/>
    <col width="21" bestFit="1" customWidth="1" style="17" min="16" max="16"/>
    <col width="17.296875" bestFit="1" customWidth="1" style="17" min="17" max="17"/>
    <col width="29.3984375" bestFit="1" customWidth="1" style="17" min="18" max="18"/>
    <col width="11.69921875" bestFit="1" customWidth="1" style="17" min="19" max="19"/>
    <col width="47.19921875" bestFit="1" customWidth="1" style="17" min="20" max="20"/>
    <col width="20" bestFit="1" customWidth="1" style="17" min="21" max="21"/>
    <col width="15.19921875" bestFit="1" customWidth="1" style="17" min="22" max="22"/>
    <col width="16.3984375" bestFit="1" customWidth="1" style="17" min="23" max="23"/>
    <col width="85.796875" bestFit="1" customWidth="1" style="17" min="24" max="24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type</t>
        </is>
      </c>
      <c r="E1" s="5" t="inlineStr">
        <is>
          <t>source</t>
        </is>
      </c>
      <c r="F1" s="5" t="inlineStr">
        <is>
          <t>rarity</t>
        </is>
      </c>
      <c r="G1" s="5" t="inlineStr">
        <is>
          <t>texture</t>
        </is>
      </c>
      <c r="H1" s="5" t="inlineStr">
        <is>
          <t>icon</t>
        </is>
      </c>
      <c r="I1" s="5" t="inlineStr">
        <is>
          <t>placeable</t>
        </is>
      </c>
      <c r="J1" s="5" t="inlineStr">
        <is>
          <t>effectType</t>
        </is>
      </c>
      <c r="K1" s="5" t="inlineStr">
        <is>
          <t>effectValue</t>
        </is>
      </c>
      <c r="L1" s="5" t="inlineStr">
        <is>
          <t>effectType2</t>
        </is>
      </c>
      <c r="M1" s="5" t="inlineStr">
        <is>
          <t>effectValue2</t>
        </is>
      </c>
      <c r="N1" s="5" t="inlineStr">
        <is>
          <t>rewardRate</t>
        </is>
      </c>
      <c r="O1" s="5" t="inlineStr">
        <is>
          <t>dropRate</t>
        </is>
      </c>
      <c r="P1" s="5" t="inlineStr">
        <is>
          <t>extraPlayCount</t>
        </is>
      </c>
      <c r="Q1" s="5" t="inlineStr">
        <is>
          <t>unlockType</t>
        </is>
      </c>
      <c r="R1" s="5" t="inlineStr">
        <is>
          <t>desc</t>
        </is>
      </c>
      <c r="S1" s="5" t="inlineStr">
        <is>
          <t>status</t>
        </is>
      </c>
      <c r="T1" s="5" t="inlineStr">
        <is>
          <t>notes</t>
        </is>
      </c>
      <c r="U1" s="5" t="inlineStr">
        <is>
          <t>exportEnabled</t>
        </is>
      </c>
      <c r="V1" s="5" t="inlineStr">
        <is>
          <t>sortOrder</t>
        </is>
      </c>
      <c r="W1" s="5" t="inlineStr">
        <is>
          <t>gameKey</t>
        </is>
      </c>
      <c r="X1" s="5" t="inlineStr">
        <is>
          <t>json_preview</t>
        </is>
      </c>
    </row>
    <row r="2" ht="72.5" customHeight="1" s="17">
      <c r="A2" s="11" t="inlineStr">
        <is>
          <t>item_hat_daily_01</t>
        </is>
      </c>
      <c r="B2" s="11" t="inlineStr">
        <is>
          <t>小髮夾</t>
        </is>
      </c>
      <c r="C2" s="7" t="inlineStr">
        <is>
          <t>equipment</t>
        </is>
      </c>
      <c r="D2" s="11" t="inlineStr">
        <is>
          <t>hat</t>
        </is>
      </c>
      <c r="E2" s="11" t="inlineStr">
        <is>
          <t>starter</t>
        </is>
      </c>
      <c r="F2" s="11" t="inlineStr">
        <is>
          <t>common</t>
        </is>
      </c>
      <c r="G2" s="11" t="inlineStr">
        <is>
          <t>item_hat_daily_01</t>
        </is>
      </c>
      <c r="H2" s="11" t="inlineStr">
        <is>
          <t>item_hat_daily_01</t>
        </is>
      </c>
      <c r="I2" s="11" t="b">
        <v>0</v>
      </c>
      <c r="J2" s="11" t="inlineStr">
        <is>
          <t>none</t>
        </is>
      </c>
      <c r="K2" s="18" t="n">
        <v>0</v>
      </c>
      <c r="L2" s="11" t="inlineStr">
        <is>
          <t>none</t>
        </is>
      </c>
      <c r="M2" s="18" t="n">
        <v>0</v>
      </c>
      <c r="N2" s="19" t="n">
        <v>0</v>
      </c>
      <c r="O2" s="19" t="n">
        <v>0</v>
      </c>
      <c r="P2" s="10" t="n">
        <v>0</v>
      </c>
      <c r="Q2" s="11" t="inlineStr">
        <is>
          <t>starter</t>
        </is>
      </c>
      <c r="R2" s="11" t="inlineStr">
        <is>
          <t>簡單可愛的小髮夾</t>
        </is>
      </c>
      <c r="S2" s="11" t="inlineStr">
        <is>
          <t>已實作</t>
        </is>
      </c>
      <c r="T2" s="11" t="n"/>
      <c r="U2" s="11" t="b">
        <v>1</v>
      </c>
      <c r="V2" s="11" t="n">
        <v>1</v>
      </c>
      <c r="W2" s="7" t="inlineStr">
        <is>
          <t>starter_001</t>
        </is>
      </c>
      <c r="X2" s="12">
        <f>IF($A2="","","{""id"":"""&amp;$A2&amp;""",""name"":"""&amp;$B2&amp;""",""category"":"""&amp;$C2&amp;""",""type"":"""&amp;$D2&amp;""",""source"":"""&amp;$E2&amp;""",""rarity"":"""&amp;$F2&amp;""",""texture"":"""&amp;$G2&amp;""",""icon"":"""&amp;$H2&amp;""",""placeable"":""&amp;IF($I2,""true"",""false"")&amp;"",""effects"":[{""type"":"""&amp;$J2&amp;""",""value"":""&amp;TEXT($K2,""0.##"")&amp;""},{""type"":"""&amp;$L2&amp;""",""value"":""&amp;TEXT($M2,""0.##"")&amp;""}],""unlockType"":"""&amp;$Q2&amp;""",""desc"":"""&amp;$R2&amp;"""}" )</f>
        <v/>
      </c>
    </row>
    <row r="3" ht="72.5" customHeight="1" s="17">
      <c r="A3" s="11" t="inlineStr">
        <is>
          <t>item_cloth_daily_01</t>
        </is>
      </c>
      <c r="B3" s="11" t="inlineStr">
        <is>
          <t>休閒裝</t>
        </is>
      </c>
      <c r="C3" s="7" t="inlineStr">
        <is>
          <t>equipment</t>
        </is>
      </c>
      <c r="D3" s="11" t="inlineStr">
        <is>
          <t>cloth</t>
        </is>
      </c>
      <c r="E3" s="11" t="inlineStr">
        <is>
          <t>starter</t>
        </is>
      </c>
      <c r="F3" s="11" t="inlineStr">
        <is>
          <t>common</t>
        </is>
      </c>
      <c r="G3" s="11" t="inlineStr">
        <is>
          <t>item_cloth_daily_01</t>
        </is>
      </c>
      <c r="H3" s="11" t="inlineStr">
        <is>
          <t>item_cloth_daily_01</t>
        </is>
      </c>
      <c r="I3" s="11" t="b">
        <v>0</v>
      </c>
      <c r="J3" s="11" t="inlineStr">
        <is>
          <t>rewardRate</t>
        </is>
      </c>
      <c r="K3" s="18" t="n">
        <v>0.05</v>
      </c>
      <c r="L3" s="11" t="inlineStr">
        <is>
          <t>none</t>
        </is>
      </c>
      <c r="M3" s="18" t="n">
        <v>0</v>
      </c>
      <c r="N3" s="19" t="n">
        <v>0.05</v>
      </c>
      <c r="O3" s="19" t="n">
        <v>0</v>
      </c>
      <c r="P3" s="10" t="n">
        <v>0</v>
      </c>
      <c r="Q3" s="11" t="inlineStr">
        <is>
          <t>starter</t>
        </is>
      </c>
      <c r="R3" s="11" t="inlineStr">
        <is>
          <t>舒適的日常衣服</t>
        </is>
      </c>
      <c r="S3" s="11" t="inlineStr">
        <is>
          <t>已實作</t>
        </is>
      </c>
      <c r="T3" s="11" t="n"/>
      <c r="U3" s="11" t="b">
        <v>1</v>
      </c>
      <c r="V3" s="11" t="n">
        <v>2</v>
      </c>
      <c r="W3" s="7" t="inlineStr">
        <is>
          <t>starter_002</t>
        </is>
      </c>
      <c r="X3" s="12">
        <f>IF($A3="","","{""id"":"""&amp;$A3&amp;""",""name"":"""&amp;$B3&amp;""",""category"":"""&amp;$C3&amp;""",""type"":"""&amp;$D3&amp;""",""source"":"""&amp;$E3&amp;""",""rarity"":"""&amp;$F3&amp;""",""texture"":"""&amp;$G3&amp;""",""icon"":"""&amp;$H3&amp;""",""placeable"":""&amp;IF($I3,""true"",""false"")&amp;"",""effects"":[{""type"":"""&amp;$J3&amp;""",""value"":""&amp;TEXT($K3,""0.##"")&amp;""},{""type"":"""&amp;$L3&amp;""",""value"":""&amp;TEXT($M3,""0.##"")&amp;""}],""unlockType"":"""&amp;$Q3&amp;""",""desc"":"""&amp;$R3&amp;"""}" )</f>
        <v/>
      </c>
    </row>
    <row r="4" ht="72.5" customHeight="1" s="17">
      <c r="A4" s="11" t="inlineStr">
        <is>
          <t>item_hat_tiara_global</t>
        </is>
      </c>
      <c r="B4" s="11" t="inlineStr">
        <is>
          <t>小皇冠</t>
        </is>
      </c>
      <c r="C4" s="7" t="inlineStr">
        <is>
          <t>equipment</t>
        </is>
      </c>
      <c r="D4" s="11" t="inlineStr">
        <is>
          <t>hat</t>
        </is>
      </c>
      <c r="E4" s="11" t="inlineStr">
        <is>
          <t>global</t>
        </is>
      </c>
      <c r="F4" s="11" t="inlineStr">
        <is>
          <t>rare</t>
        </is>
      </c>
      <c r="G4" s="11" t="inlineStr">
        <is>
          <t>hat_tiara</t>
        </is>
      </c>
      <c r="H4" s="11" t="inlineStr">
        <is>
          <t>icon_hat_tiara</t>
        </is>
      </c>
      <c r="I4" s="11" t="b">
        <v>0</v>
      </c>
      <c r="J4" s="11" t="inlineStr">
        <is>
          <t>rewardRate</t>
        </is>
      </c>
      <c r="K4" s="18" t="n">
        <v>0.2</v>
      </c>
      <c r="L4" s="11" t="inlineStr">
        <is>
          <t>none</t>
        </is>
      </c>
      <c r="M4" s="18" t="n">
        <v>0</v>
      </c>
      <c r="N4" s="19" t="n">
        <v>0.2</v>
      </c>
      <c r="O4" s="19" t="n">
        <v>0</v>
      </c>
      <c r="P4" s="10" t="n">
        <v>0</v>
      </c>
      <c r="Q4" s="11" t="inlineStr">
        <is>
          <t>drop</t>
        </is>
      </c>
      <c r="R4" s="11" t="inlineStr">
        <is>
          <t>一頂閃亮的小皇冠</t>
        </is>
      </c>
      <c r="S4" s="11" t="inlineStr">
        <is>
          <t>已實作</t>
        </is>
      </c>
      <c r="T4" s="11" t="n"/>
      <c r="U4" s="11" t="b">
        <v>1</v>
      </c>
      <c r="V4" s="11" t="n">
        <v>3</v>
      </c>
      <c r="W4" s="7" t="inlineStr">
        <is>
          <t>global_003</t>
        </is>
      </c>
      <c r="X4" s="12">
        <f>IF($A4="","","{""id"":"""&amp;$A4&amp;""",""name"":"""&amp;$B4&amp;""",""category"":"""&amp;$C4&amp;""",""type"":"""&amp;$D4&amp;""",""source"":"""&amp;$E4&amp;""",""rarity"":"""&amp;$F4&amp;""",""texture"":"""&amp;$G4&amp;""",""icon"":"""&amp;$H4&amp;""",""placeable"":""&amp;IF($I4,""true"",""false"")&amp;"",""effects"":[{""type"":"""&amp;$J4&amp;""",""value"":""&amp;TEXT($K4,""0.##"")&amp;""},{""type"":"""&amp;$L4&amp;""",""value"":""&amp;TEXT($M4,""0.##"")&amp;""}],""unlockType"":"""&amp;$Q4&amp;""",""desc"":"""&amp;$R4&amp;"""}" )</f>
        <v/>
      </c>
    </row>
    <row r="5" ht="72.5" customHeight="1" s="17">
      <c r="A5" s="11" t="inlineStr">
        <is>
          <t>item_cloth_fairy_firefly</t>
        </is>
      </c>
      <c r="B5" s="11" t="inlineStr">
        <is>
          <t>小仙子洋裝</t>
        </is>
      </c>
      <c r="C5" s="7" t="inlineStr">
        <is>
          <t>equipment</t>
        </is>
      </c>
      <c r="D5" s="11" t="inlineStr">
        <is>
          <t>cloth</t>
        </is>
      </c>
      <c r="E5" s="11" t="inlineStr">
        <is>
          <t>firefly</t>
        </is>
      </c>
      <c r="F5" s="11" t="inlineStr">
        <is>
          <t>rare</t>
        </is>
      </c>
      <c r="G5" s="11" t="inlineStr">
        <is>
          <t>cloth_fairy</t>
        </is>
      </c>
      <c r="H5" s="11" t="inlineStr">
        <is>
          <t>icon_cloth_fairy</t>
        </is>
      </c>
      <c r="I5" s="11" t="b">
        <v>0</v>
      </c>
      <c r="J5" s="11" t="inlineStr">
        <is>
          <t>dropRate</t>
        </is>
      </c>
      <c r="K5" s="18" t="n">
        <v>0.15</v>
      </c>
      <c r="L5" s="11" t="inlineStr">
        <is>
          <t>none</t>
        </is>
      </c>
      <c r="M5" s="18" t="n">
        <v>0</v>
      </c>
      <c r="N5" s="19" t="n">
        <v>0</v>
      </c>
      <c r="O5" s="19" t="n">
        <v>0.15</v>
      </c>
      <c r="P5" s="10" t="n">
        <v>0</v>
      </c>
      <c r="Q5" s="11" t="inlineStr">
        <is>
          <t>drop</t>
        </is>
      </c>
      <c r="R5" s="11" t="inlineStr">
        <is>
          <t>輕盈可愛的小仙子洋裝</t>
        </is>
      </c>
      <c r="S5" s="11" t="inlineStr">
        <is>
          <t>已實作</t>
        </is>
      </c>
      <c r="T5" s="11" t="n"/>
      <c r="U5" s="11" t="b">
        <v>1</v>
      </c>
      <c r="V5" s="11" t="n">
        <v>4</v>
      </c>
      <c r="W5" s="7" t="inlineStr">
        <is>
          <t>firefly_004</t>
        </is>
      </c>
      <c r="X5" s="12">
        <f>IF($A5="","","{""id"":"""&amp;$A5&amp;""",""name"":"""&amp;$B5&amp;""",""category"":"""&amp;$C5&amp;""",""type"":"""&amp;$D5&amp;""",""source"":"""&amp;$E5&amp;""",""rarity"":"""&amp;$F5&amp;""",""texture"":"""&amp;$G5&amp;""",""icon"":"""&amp;$H5&amp;""",""placeable"":""&amp;IF($I5,""true"",""false"")&amp;"",""effects"":[{""type"":"""&amp;$J5&amp;""",""value"":""&amp;TEXT($K5,""0.##"")&amp;""},{""type"":"""&amp;$L5&amp;""",""value"":""&amp;TEXT($M5,""0.##"")&amp;""}],""unlockType"":"""&amp;$Q5&amp;""",""desc"":"""&amp;$R5&amp;"""}" )</f>
        <v/>
      </c>
    </row>
    <row r="6" ht="72.5" customHeight="1" s="17">
      <c r="A6" s="11" t="inlineStr">
        <is>
          <t>item_fullset_pink_home_01</t>
        </is>
      </c>
      <c r="B6" s="11" t="inlineStr">
        <is>
          <t>粉色居家服</t>
        </is>
      </c>
      <c r="C6" s="7" t="inlineStr">
        <is>
          <t>equipment</t>
        </is>
      </c>
      <c r="D6" s="11" t="inlineStr">
        <is>
          <t>fullset</t>
        </is>
      </c>
      <c r="E6" s="11" t="inlineStr">
        <is>
          <t>starter</t>
        </is>
      </c>
      <c r="F6" s="11" t="inlineStr">
        <is>
          <t>common</t>
        </is>
      </c>
      <c r="G6" s="11" t="inlineStr">
        <is>
          <t>fullset_pink_home_01</t>
        </is>
      </c>
      <c r="H6" s="11" t="inlineStr">
        <is>
          <t>icon_fullset_pink_home_01</t>
        </is>
      </c>
      <c r="I6" s="11" t="b">
        <v>0</v>
      </c>
      <c r="J6" s="11" t="inlineStr">
        <is>
          <t>rewardRate</t>
        </is>
      </c>
      <c r="K6" s="18" t="n">
        <v>0.1</v>
      </c>
      <c r="L6" s="11" t="inlineStr">
        <is>
          <t>dropRate</t>
        </is>
      </c>
      <c r="M6" s="18" t="n">
        <v>0.05</v>
      </c>
      <c r="N6" s="19" t="n">
        <v>0.1</v>
      </c>
      <c r="O6" s="19" t="n">
        <v>0.05</v>
      </c>
      <c r="P6" s="10" t="n">
        <v>0</v>
      </c>
      <c r="Q6" s="11" t="inlineStr">
        <is>
          <t>starter</t>
        </is>
      </c>
      <c r="R6" s="11" t="inlineStr">
        <is>
          <t>舒服又可愛的粉色居家服</t>
        </is>
      </c>
      <c r="S6" s="11" t="inlineStr">
        <is>
          <t>已實作</t>
        </is>
      </c>
      <c r="T6" s="11" t="n"/>
      <c r="U6" s="11" t="b">
        <v>1</v>
      </c>
      <c r="V6" s="11" t="n">
        <v>5</v>
      </c>
      <c r="W6" s="7" t="inlineStr">
        <is>
          <t>starter_005</t>
        </is>
      </c>
      <c r="X6" s="12">
        <f>IF($A6="","","{""id"":"""&amp;$A6&amp;""",""name"":"""&amp;$B6&amp;""",""category"":"""&amp;$C6&amp;""",""type"":"""&amp;$D6&amp;""",""source"":"""&amp;$E6&amp;""",""rarity"":"""&amp;$F6&amp;""",""texture"":"""&amp;$G6&amp;""",""icon"":"""&amp;$H6&amp;""",""placeable"":""&amp;IF($I6,""true"",""false"")&amp;"",""effects"":[{""type"":"""&amp;$J6&amp;""",""value"":""&amp;TEXT($K6,""0.##"")&amp;""},{""type"":"""&amp;$L6&amp;""",""value"":""&amp;TEXT($M6,""0.##"")&amp;""}],""unlockType"":"""&amp;$Q6&amp;""",""desc"":"""&amp;$R6&amp;"""}" )</f>
        <v/>
      </c>
    </row>
    <row r="7" ht="72.5" customHeight="1" s="17">
      <c r="A7" s="11" t="inlineStr">
        <is>
          <t>item_hat_explore_01</t>
        </is>
      </c>
      <c r="B7" s="11" t="inlineStr">
        <is>
          <t>探險遮陽帽</t>
        </is>
      </c>
      <c r="C7" s="7" t="inlineStr">
        <is>
          <t>equipment</t>
        </is>
      </c>
      <c r="D7" s="11" t="inlineStr">
        <is>
          <t>hat</t>
        </is>
      </c>
      <c r="E7" s="11" t="inlineStr">
        <is>
          <t>treasure</t>
        </is>
      </c>
      <c r="F7" s="11" t="inlineStr">
        <is>
          <t>rare</t>
        </is>
      </c>
      <c r="G7" s="11" t="inlineStr">
        <is>
          <t>hat_explorer</t>
        </is>
      </c>
      <c r="H7" s="11" t="inlineStr">
        <is>
          <t>icon_hat_explorer</t>
        </is>
      </c>
      <c r="I7" s="11" t="b">
        <v>0</v>
      </c>
      <c r="J7" s="11" t="inlineStr">
        <is>
          <t>extraPlayCount</t>
        </is>
      </c>
      <c r="K7" s="18" t="n">
        <v>1</v>
      </c>
      <c r="L7" s="11" t="inlineStr">
        <is>
          <t>none</t>
        </is>
      </c>
      <c r="M7" s="18" t="n">
        <v>0</v>
      </c>
      <c r="N7" s="19" t="n">
        <v>0</v>
      </c>
      <c r="O7" s="19" t="n">
        <v>0</v>
      </c>
      <c r="P7" s="10" t="n">
        <v>1</v>
      </c>
      <c r="Q7" s="11" t="inlineStr">
        <is>
          <t>drop</t>
        </is>
      </c>
      <c r="R7" s="11" t="inlineStr">
        <is>
          <t>探險時能多一次嘗試機會</t>
        </is>
      </c>
      <c r="S7" s="11" t="inlineStr">
        <is>
          <t>測試中</t>
        </is>
      </c>
      <c r="T7" s="11" t="n"/>
      <c r="U7" s="11" t="b">
        <v>1</v>
      </c>
      <c r="V7" s="11" t="n">
        <v>6</v>
      </c>
      <c r="W7" s="7" t="inlineStr">
        <is>
          <t>treasure_006</t>
        </is>
      </c>
      <c r="X7" s="12">
        <f>IF($A7="","","{""id"":"""&amp;$A7&amp;""",""name"":"""&amp;$B7&amp;""",""category"":"""&amp;$C7&amp;""",""type"":"""&amp;$D7&amp;""",""source"":"""&amp;$E7&amp;""",""rarity"":"""&amp;$F7&amp;""",""texture"":"""&amp;$G7&amp;""",""icon"":"""&amp;$H7&amp;""",""placeable"":""&amp;IF($I7,""true"",""false"")&amp;"",""effects"":[{""type"":"""&amp;$J7&amp;""",""value"":""&amp;TEXT($K7,""0.##"")&amp;""},{""type"":"""&amp;$L7&amp;""",""value"":""&amp;TEXT($M7,""0.##"")&amp;""}],""unlockType"":"""&amp;$Q7&amp;""",""desc"":"""&amp;$R7&amp;"""}" )</f>
        <v/>
      </c>
    </row>
    <row r="8" ht="72.5" customHeight="1" s="17">
      <c r="A8" s="11" t="inlineStr">
        <is>
          <t>item_cloth_explore_01</t>
        </is>
      </c>
      <c r="B8" s="11" t="inlineStr">
        <is>
          <t>多口袋背心</t>
        </is>
      </c>
      <c r="C8" s="7" t="inlineStr">
        <is>
          <t>equipment</t>
        </is>
      </c>
      <c r="D8" s="11" t="inlineStr">
        <is>
          <t>cloth</t>
        </is>
      </c>
      <c r="E8" s="11" t="inlineStr">
        <is>
          <t>treasure</t>
        </is>
      </c>
      <c r="F8" s="11" t="inlineStr">
        <is>
          <t>rare</t>
        </is>
      </c>
      <c r="G8" s="11" t="inlineStr">
        <is>
          <t>cloth_explorer</t>
        </is>
      </c>
      <c r="H8" s="11" t="inlineStr">
        <is>
          <t>icon_cloth_explorer</t>
        </is>
      </c>
      <c r="I8" s="11" t="b">
        <v>0</v>
      </c>
      <c r="J8" s="11" t="inlineStr">
        <is>
          <t>dropRate</t>
        </is>
      </c>
      <c r="K8" s="18" t="n">
        <v>0.1</v>
      </c>
      <c r="L8" s="11" t="inlineStr">
        <is>
          <t>none</t>
        </is>
      </c>
      <c r="M8" s="18" t="n">
        <v>0</v>
      </c>
      <c r="N8" s="19" t="n">
        <v>0</v>
      </c>
      <c r="O8" s="19" t="n">
        <v>0.1</v>
      </c>
      <c r="P8" s="10" t="n">
        <v>0</v>
      </c>
      <c r="Q8" s="11" t="inlineStr">
        <is>
          <t>drop</t>
        </is>
      </c>
      <c r="R8" s="11" t="inlineStr">
        <is>
          <t>身上掛滿各種探險口袋</t>
        </is>
      </c>
      <c r="S8" s="11" t="inlineStr">
        <is>
          <t>測試中</t>
        </is>
      </c>
      <c r="T8" s="11" t="n"/>
      <c r="U8" s="11" t="b">
        <v>1</v>
      </c>
      <c r="V8" s="11" t="n">
        <v>7</v>
      </c>
      <c r="W8" s="7" t="inlineStr">
        <is>
          <t>treasure_007</t>
        </is>
      </c>
      <c r="X8" s="12">
        <f>IF($A8="","","{""id"":"""&amp;$A8&amp;""",""name"":"""&amp;$B8&amp;""",""category"":"""&amp;$C8&amp;""",""type"":"""&amp;$D8&amp;""",""source"":"""&amp;$E8&amp;""",""rarity"":"""&amp;$F8&amp;""",""texture"":"""&amp;$G8&amp;""",""icon"":"""&amp;$H8&amp;""",""placeable"":""&amp;IF($I8,""true"",""false"")&amp;"",""effects"":[{""type"":"""&amp;$J8&amp;""",""value"":""&amp;TEXT($K8,""0.##"")&amp;""},{""type"":"""&amp;$L8&amp;""",""value"":""&amp;TEXT($M8,""0.##"")&amp;""}],""unlockType"":"""&amp;$Q8&amp;""",""desc"":"""&amp;$R8&amp;"""}" )</f>
        <v/>
      </c>
    </row>
    <row r="9" ht="72.5" customHeight="1" s="17">
      <c r="A9" s="11" t="inlineStr">
        <is>
          <t>item_fullset_explore_01</t>
        </is>
      </c>
      <c r="B9" s="11" t="inlineStr">
        <is>
          <t>野外小偵查</t>
        </is>
      </c>
      <c r="C9" s="7" t="inlineStr">
        <is>
          <t>equipment</t>
        </is>
      </c>
      <c r="D9" s="11" t="inlineStr">
        <is>
          <t>fullset</t>
        </is>
      </c>
      <c r="E9" s="11" t="inlineStr">
        <is>
          <t>treasure</t>
        </is>
      </c>
      <c r="F9" s="11" t="inlineStr">
        <is>
          <t>rare</t>
        </is>
      </c>
      <c r="G9" s="11" t="inlineStr">
        <is>
          <t>fullset_explorer</t>
        </is>
      </c>
      <c r="H9" s="11" t="inlineStr">
        <is>
          <t>icon_fullset_explorer</t>
        </is>
      </c>
      <c r="I9" s="11" t="b">
        <v>0</v>
      </c>
      <c r="J9" s="11" t="inlineStr">
        <is>
          <t>revealHint</t>
        </is>
      </c>
      <c r="K9" s="18" t="n">
        <v>1</v>
      </c>
      <c r="L9" s="11" t="inlineStr">
        <is>
          <t>none</t>
        </is>
      </c>
      <c r="M9" s="18" t="n">
        <v>0</v>
      </c>
      <c r="N9" s="19" t="n">
        <v>0</v>
      </c>
      <c r="O9" s="19" t="n">
        <v>0</v>
      </c>
      <c r="P9" s="10" t="n">
        <v>0</v>
      </c>
      <c r="Q9" s="11" t="inlineStr">
        <is>
          <t>drop</t>
        </is>
      </c>
      <c r="R9" s="11" t="inlineStr">
        <is>
          <t>一件充滿探險味道的衣服</t>
        </is>
      </c>
      <c r="S9" s="11" t="inlineStr">
        <is>
          <t>測試中</t>
        </is>
      </c>
      <c r="T9" s="11" t="n"/>
      <c r="U9" s="11" t="b">
        <v>1</v>
      </c>
      <c r="V9" s="11" t="n">
        <v>8</v>
      </c>
      <c r="W9" s="7" t="inlineStr">
        <is>
          <t>treasure_008</t>
        </is>
      </c>
      <c r="X9" s="12">
        <f>IF($A9="","","{""id"":"""&amp;$A9&amp;""",""name"":"""&amp;$B9&amp;""",""category"":"""&amp;$C9&amp;""",""type"":"""&amp;$D9&amp;""",""source"":"""&amp;$E9&amp;""",""rarity"":"""&amp;$F9&amp;""",""texture"":"""&amp;$G9&amp;""",""icon"":"""&amp;$H9&amp;""",""placeable"":""&amp;IF($I9,""true"",""false"")&amp;"",""effects"":[{""type"":"""&amp;$J9&amp;""",""value"":""&amp;TEXT($K9,""0.##"")&amp;""},{""type"":"""&amp;$L9&amp;""",""value"":""&amp;TEXT($M9,""0.##"")&amp;""}],""unlockType"":"""&amp;$Q9&amp;""",""desc"":"""&amp;$R9&amp;"""}" )</f>
        <v/>
      </c>
    </row>
    <row r="10" ht="72.5" customHeight="1" s="17">
      <c r="A10" s="11" t="inlineStr">
        <is>
          <t>item_tool_explore_01</t>
        </is>
      </c>
      <c r="B10" s="11" t="inlineStr">
        <is>
          <t>高能放大鏡</t>
        </is>
      </c>
      <c r="C10" s="7" t="inlineStr">
        <is>
          <t>tool</t>
        </is>
      </c>
      <c r="D10" s="11" t="inlineStr">
        <is>
          <t>tool</t>
        </is>
      </c>
      <c r="E10" s="11" t="inlineStr">
        <is>
          <t>treasure</t>
        </is>
      </c>
      <c r="F10" s="11" t="inlineStr">
        <is>
          <t>rare</t>
        </is>
      </c>
      <c r="G10" s="11" t="inlineStr">
        <is>
          <t>tool_magnifier</t>
        </is>
      </c>
      <c r="H10" s="11" t="inlineStr">
        <is>
          <t>icon_magnifier</t>
        </is>
      </c>
      <c r="I10" s="11" t="b">
        <v>0</v>
      </c>
      <c r="J10" s="11" t="inlineStr">
        <is>
          <t>rareDropRate</t>
        </is>
      </c>
      <c r="K10" s="18" t="n">
        <v>0.05</v>
      </c>
      <c r="L10" s="11" t="inlineStr">
        <is>
          <t>none</t>
        </is>
      </c>
      <c r="M10" s="18" t="n">
        <v>0</v>
      </c>
      <c r="N10" s="19" t="n">
        <v>0</v>
      </c>
      <c r="O10" s="19" t="n">
        <v>0</v>
      </c>
      <c r="P10" s="10" t="n">
        <v>0</v>
      </c>
      <c r="Q10" s="11" t="inlineStr">
        <is>
          <t>drop</t>
        </is>
      </c>
      <c r="R10" s="11" t="inlineStr">
        <is>
          <t>讓寶藏的細節變得更明顯</t>
        </is>
      </c>
      <c r="S10" s="11" t="inlineStr">
        <is>
          <t>測試中</t>
        </is>
      </c>
      <c r="T10" s="11" t="n"/>
      <c r="U10" s="11" t="b">
        <v>1</v>
      </c>
      <c r="V10" s="11" t="n">
        <v>9</v>
      </c>
      <c r="W10" s="7" t="inlineStr">
        <is>
          <t>treasure_009</t>
        </is>
      </c>
      <c r="X10" s="12">
        <f>IF($A10="","","{""id"":"""&amp;$A10&amp;""",""name"":"""&amp;$B10&amp;""",""category"":"""&amp;$C10&amp;""",""type"":"""&amp;$D10&amp;""",""source"":"""&amp;$E10&amp;""",""rarity"":"""&amp;$F10&amp;""",""texture"":"""&amp;$G10&amp;""",""icon"":"""&amp;$H10&amp;""",""placeable"":""&amp;IF($I10,""true"",""false"")&amp;"",""effects"":[{""type"":"""&amp;$J10&amp;""",""value"":""&amp;TEXT($K10,""0.##"")&amp;""},{""type"":"""&amp;$L10&amp;""",""value"":""&amp;TEXT($M10,""0.##"")&amp;""}],""unlockType"":"""&amp;$Q10&amp;""",""desc"":"""&amp;$R10&amp;"""}" )</f>
        <v/>
      </c>
    </row>
    <row r="11" ht="72.5" customHeight="1" s="17">
      <c r="A11" s="11" t="inlineStr">
        <is>
          <t>item_hat_firefly_01</t>
        </is>
      </c>
      <c r="B11" s="11" t="inlineStr">
        <is>
          <t>螢光小帽</t>
        </is>
      </c>
      <c r="C11" s="7" t="inlineStr">
        <is>
          <t>equipment</t>
        </is>
      </c>
      <c r="D11" s="11" t="inlineStr">
        <is>
          <t>hat</t>
        </is>
      </c>
      <c r="E11" s="11" t="inlineStr">
        <is>
          <t>firefly</t>
        </is>
      </c>
      <c r="F11" s="11" t="inlineStr">
        <is>
          <t>rare</t>
        </is>
      </c>
      <c r="G11" s="11" t="inlineStr">
        <is>
          <t>hat_firefly</t>
        </is>
      </c>
      <c r="H11" s="11" t="inlineStr">
        <is>
          <t>icon_hat_firefly</t>
        </is>
      </c>
      <c r="I11" s="11" t="b">
        <v>0</v>
      </c>
      <c r="J11" s="11" t="inlineStr">
        <is>
          <t>timeBonus</t>
        </is>
      </c>
      <c r="K11" s="18" t="n">
        <v>3</v>
      </c>
      <c r="L11" s="11" t="inlineStr">
        <is>
          <t>none</t>
        </is>
      </c>
      <c r="M11" s="18" t="n">
        <v>0</v>
      </c>
      <c r="N11" s="19" t="n">
        <v>0</v>
      </c>
      <c r="O11" s="19" t="n">
        <v>0</v>
      </c>
      <c r="P11" s="10" t="n">
        <v>0</v>
      </c>
      <c r="Q11" s="11" t="inlineStr">
        <is>
          <t>drop</t>
        </is>
      </c>
      <c r="R11" s="11" t="inlineStr">
        <is>
          <t>夜晚的螢光會停留得更久</t>
        </is>
      </c>
      <c r="S11" s="11" t="inlineStr">
        <is>
          <t>測試中</t>
        </is>
      </c>
      <c r="T11" s="11" t="n"/>
      <c r="U11" s="11" t="b">
        <v>1</v>
      </c>
      <c r="V11" s="11" t="n">
        <v>10</v>
      </c>
      <c r="W11" s="7" t="inlineStr">
        <is>
          <t>firefly_010</t>
        </is>
      </c>
      <c r="X11" s="12">
        <f>IF($A11="","","{""id"":"""&amp;$A11&amp;""",""name"":"""&amp;$B11&amp;""",""category"":"""&amp;$C11&amp;""",""type"":"""&amp;$D11&amp;""",""source"":"""&amp;$E11&amp;""",""rarity"":"""&amp;$F11&amp;""",""texture"":"""&amp;$G11&amp;""",""icon"":"""&amp;$H11&amp;""",""placeable"":""&amp;IF($I11,""true"",""false"")&amp;"",""effects"":[{""type"":"""&amp;$J11&amp;""",""value"":""&amp;TEXT($K11,""0.##"")&amp;""},{""type"":"""&amp;$L11&amp;""",""value"":""&amp;TEXT($M11,""0.##"")&amp;""}],""unlockType"":"""&amp;$Q11&amp;""",""desc"":"""&amp;$R11&amp;"""}" )</f>
        <v/>
      </c>
    </row>
    <row r="12" ht="72.5" customHeight="1" s="17">
      <c r="A12" s="11" t="inlineStr">
        <is>
          <t>item_cloth_firefly_01</t>
        </is>
      </c>
      <c r="B12" s="11" t="inlineStr">
        <is>
          <t>發光小背心</t>
        </is>
      </c>
      <c r="C12" s="7" t="inlineStr">
        <is>
          <t>equipment</t>
        </is>
      </c>
      <c r="D12" s="11" t="inlineStr">
        <is>
          <t>cloth</t>
        </is>
      </c>
      <c r="E12" s="11" t="inlineStr">
        <is>
          <t>firefly</t>
        </is>
      </c>
      <c r="F12" s="11" t="inlineStr">
        <is>
          <t>rare</t>
        </is>
      </c>
      <c r="G12" s="11" t="inlineStr">
        <is>
          <t>cloth_firefly</t>
        </is>
      </c>
      <c r="H12" s="11" t="inlineStr">
        <is>
          <t>icon_cloth_firefly</t>
        </is>
      </c>
      <c r="I12" s="11" t="b">
        <v>0</v>
      </c>
      <c r="J12" s="11" t="inlineStr">
        <is>
          <t>rewardRate</t>
        </is>
      </c>
      <c r="K12" s="18" t="n">
        <v>0.15</v>
      </c>
      <c r="L12" s="11" t="inlineStr">
        <is>
          <t>none</t>
        </is>
      </c>
      <c r="M12" s="18" t="n">
        <v>0</v>
      </c>
      <c r="N12" s="19" t="n">
        <v>0.15</v>
      </c>
      <c r="O12" s="19" t="n">
        <v>0</v>
      </c>
      <c r="P12" s="10" t="n">
        <v>0</v>
      </c>
      <c r="Q12" s="11" t="inlineStr">
        <is>
          <t>drop</t>
        </is>
      </c>
      <c r="R12" s="11" t="inlineStr">
        <is>
          <t>微微發光的小背心</t>
        </is>
      </c>
      <c r="S12" s="11" t="inlineStr">
        <is>
          <t>測試中</t>
        </is>
      </c>
      <c r="T12" s="11" t="n"/>
      <c r="U12" s="11" t="b">
        <v>1</v>
      </c>
      <c r="V12" s="11" t="n">
        <v>11</v>
      </c>
      <c r="W12" s="7" t="inlineStr">
        <is>
          <t>firefly_011</t>
        </is>
      </c>
      <c r="X12" s="12">
        <f>IF($A12="","","{""id"":"""&amp;$A12&amp;""",""name"":"""&amp;$B12&amp;""",""category"":"""&amp;$C12&amp;""",""type"":"""&amp;$D12&amp;""",""source"":"""&amp;$E12&amp;""",""rarity"":"""&amp;$F12&amp;""",""texture"":"""&amp;$G12&amp;""",""icon"":"""&amp;$H12&amp;""",""placeable"":""&amp;IF($I12,""true"",""false"")&amp;"",""effects"":[{""type"":"""&amp;$J12&amp;""",""value"":""&amp;TEXT($K12,""0.##"")&amp;""},{""type"":"""&amp;$L12&amp;""",""value"":""&amp;TEXT($M12,""0.##"")&amp;""}],""unlockType"":"""&amp;$Q12&amp;""",""desc"":"""&amp;$R12&amp;"""}" )</f>
        <v/>
      </c>
    </row>
    <row r="13" ht="72.5" customHeight="1" s="17">
      <c r="A13" s="11" t="inlineStr">
        <is>
          <t>item_fullset_firefly_01</t>
        </is>
      </c>
      <c r="B13" s="11" t="inlineStr">
        <is>
          <t>森林精靈服</t>
        </is>
      </c>
      <c r="C13" s="7" t="inlineStr">
        <is>
          <t>equipment</t>
        </is>
      </c>
      <c r="D13" s="11" t="inlineStr">
        <is>
          <t>fullset</t>
        </is>
      </c>
      <c r="E13" s="11" t="inlineStr">
        <is>
          <t>firefly</t>
        </is>
      </c>
      <c r="F13" s="11" t="inlineStr">
        <is>
          <t>rare</t>
        </is>
      </c>
      <c r="G13" s="11" t="inlineStr">
        <is>
          <t>fullset_firefly</t>
        </is>
      </c>
      <c r="H13" s="11" t="inlineStr">
        <is>
          <t>icon_fullset_firefly</t>
        </is>
      </c>
      <c r="I13" s="11" t="b">
        <v>0</v>
      </c>
      <c r="J13" s="11" t="inlineStr">
        <is>
          <t>extraMistake</t>
        </is>
      </c>
      <c r="K13" s="18" t="n">
        <v>1</v>
      </c>
      <c r="L13" s="11" t="inlineStr">
        <is>
          <t>none</t>
        </is>
      </c>
      <c r="M13" s="18" t="n">
        <v>0</v>
      </c>
      <c r="N13" s="19" t="n">
        <v>0</v>
      </c>
      <c r="O13" s="19" t="n">
        <v>0</v>
      </c>
      <c r="P13" s="10" t="n">
        <v>0</v>
      </c>
      <c r="Q13" s="11" t="inlineStr">
        <is>
          <t>drop</t>
        </is>
      </c>
      <c r="R13" s="11" t="inlineStr">
        <is>
          <t>帶有森林魔法的精靈服</t>
        </is>
      </c>
      <c r="S13" s="11" t="inlineStr">
        <is>
          <t>測試中</t>
        </is>
      </c>
      <c r="T13" s="11" t="n"/>
      <c r="U13" s="11" t="b">
        <v>1</v>
      </c>
      <c r="V13" s="11" t="n">
        <v>12</v>
      </c>
      <c r="W13" s="7" t="inlineStr">
        <is>
          <t>firefly_012</t>
        </is>
      </c>
      <c r="X13" s="12">
        <f>IF($A13="","","{""id"":"""&amp;$A13&amp;""",""name"":"""&amp;$B13&amp;""",""category"":"""&amp;$C13&amp;""",""type"":"""&amp;$D13&amp;""",""source"":"""&amp;$E13&amp;""",""rarity"":"""&amp;$F13&amp;""",""texture"":"""&amp;$G13&amp;""",""icon"":"""&amp;$H13&amp;""",""placeable"":""&amp;IF($I13,""true"",""false"")&amp;"",""effects"":[{""type"":"""&amp;$J13&amp;""",""value"":""&amp;TEXT($K13,""0.##"")&amp;""},{""type"":"""&amp;$L13&amp;""",""value"":""&amp;TEXT($M13,""0.##"")&amp;""}],""unlockType"":"""&amp;$Q13&amp;""",""desc"":"""&amp;$R13&amp;"""}" )</f>
        <v/>
      </c>
    </row>
    <row r="14" ht="72.5" customHeight="1" s="17">
      <c r="A14" s="11" t="inlineStr">
        <is>
          <t>item_tool_firefly_01</t>
        </is>
      </c>
      <c r="B14" s="11" t="inlineStr">
        <is>
          <t>許願玻璃瓶</t>
        </is>
      </c>
      <c r="C14" s="7" t="inlineStr">
        <is>
          <t>tool</t>
        </is>
      </c>
      <c r="D14" s="11" t="inlineStr">
        <is>
          <t>tool</t>
        </is>
      </c>
      <c r="E14" s="11" t="inlineStr">
        <is>
          <t>firefly</t>
        </is>
      </c>
      <c r="F14" s="11" t="inlineStr">
        <is>
          <t>rare</t>
        </is>
      </c>
      <c r="G14" s="11" t="inlineStr">
        <is>
          <t>tool_firefly_jar</t>
        </is>
      </c>
      <c r="H14" s="11" t="inlineStr">
        <is>
          <t>icon_firefly_jar</t>
        </is>
      </c>
      <c r="I14" s="11" t="b">
        <v>0</v>
      </c>
      <c r="J14" s="11" t="inlineStr">
        <is>
          <t>chestRate</t>
        </is>
      </c>
      <c r="K14" s="18" t="n">
        <v>0.1</v>
      </c>
      <c r="L14" s="11" t="inlineStr">
        <is>
          <t>none</t>
        </is>
      </c>
      <c r="M14" s="18" t="n">
        <v>0</v>
      </c>
      <c r="N14" s="19" t="n">
        <v>0</v>
      </c>
      <c r="O14" s="19" t="n">
        <v>0</v>
      </c>
      <c r="P14" s="10" t="n">
        <v>0</v>
      </c>
      <c r="Q14" s="11" t="inlineStr">
        <is>
          <t>drop</t>
        </is>
      </c>
      <c r="R14" s="11" t="inlineStr">
        <is>
          <t>裝滿螢火蟲的玻璃瓶</t>
        </is>
      </c>
      <c r="S14" s="11" t="inlineStr">
        <is>
          <t>測試中</t>
        </is>
      </c>
      <c r="T14" s="11" t="n"/>
      <c r="U14" s="11" t="b">
        <v>1</v>
      </c>
      <c r="V14" s="11" t="n">
        <v>13</v>
      </c>
      <c r="W14" s="7" t="inlineStr">
        <is>
          <t>firefly_013</t>
        </is>
      </c>
      <c r="X14" s="12">
        <f>IF($A14="","","{""id"":"""&amp;$A14&amp;""",""name"":"""&amp;$B14&amp;""",""category"":"""&amp;$C14&amp;""",""type"":"""&amp;$D14&amp;""",""source"":"""&amp;$E14&amp;""",""rarity"":"""&amp;$F14&amp;""",""texture"":"""&amp;$G14&amp;""",""icon"":"""&amp;$H14&amp;""",""placeable"":""&amp;IF($I14,""true"",""false"")&amp;"",""effects"":[{""type"":"""&amp;$J14&amp;""",""value"":""&amp;TEXT($K14,""0.##"")&amp;""},{""type"":"""&amp;$L14&amp;""",""value"":""&amp;TEXT($M14,""0.##"")&amp;""}],""unlockType"":"""&amp;$Q14&amp;""",""desc"":"""&amp;$R14&amp;"""}" )</f>
        <v/>
      </c>
    </row>
    <row r="15" ht="72.5" customHeight="1" s="17">
      <c r="A15" s="11" t="inlineStr">
        <is>
          <t>item_hat_campfire_01</t>
        </is>
      </c>
      <c r="B15" s="11" t="inlineStr">
        <is>
          <t>火焰廚師帽</t>
        </is>
      </c>
      <c r="C15" s="7" t="inlineStr">
        <is>
          <t>equipment</t>
        </is>
      </c>
      <c r="D15" s="11" t="inlineStr">
        <is>
          <t>hat</t>
        </is>
      </c>
      <c r="E15" s="11" t="inlineStr">
        <is>
          <t>campfire</t>
        </is>
      </c>
      <c r="F15" s="11" t="inlineStr">
        <is>
          <t>rare</t>
        </is>
      </c>
      <c r="G15" s="11" t="inlineStr">
        <is>
          <t>hat_cook</t>
        </is>
      </c>
      <c r="H15" s="11" t="inlineStr">
        <is>
          <t>icon_hat_cook</t>
        </is>
      </c>
      <c r="I15" s="11" t="b">
        <v>0</v>
      </c>
      <c r="J15" s="11" t="inlineStr">
        <is>
          <t>timeBonus</t>
        </is>
      </c>
      <c r="K15" s="18" t="n">
        <v>3</v>
      </c>
      <c r="L15" s="11" t="inlineStr">
        <is>
          <t>none</t>
        </is>
      </c>
      <c r="M15" s="18" t="n">
        <v>0</v>
      </c>
      <c r="N15" s="19" t="n">
        <v>0</v>
      </c>
      <c r="O15" s="19" t="n">
        <v>0</v>
      </c>
      <c r="P15" s="10" t="n">
        <v>0</v>
      </c>
      <c r="Q15" s="11" t="inlineStr">
        <is>
          <t>drop</t>
        </is>
      </c>
      <c r="R15" s="11" t="inlineStr">
        <is>
          <t>營火料理專用廚師帽</t>
        </is>
      </c>
      <c r="S15" s="11" t="inlineStr">
        <is>
          <t>測試中</t>
        </is>
      </c>
      <c r="T15" s="11" t="n"/>
      <c r="U15" s="11" t="b">
        <v>1</v>
      </c>
      <c r="V15" s="11" t="n">
        <v>14</v>
      </c>
      <c r="W15" s="7" t="inlineStr">
        <is>
          <t>campfire_014</t>
        </is>
      </c>
      <c r="X15" s="12">
        <f>IF($A15="","","{""id"":"""&amp;$A15&amp;""",""name"":"""&amp;$B15&amp;""",""category"":"""&amp;$C15&amp;""",""type"":"""&amp;$D15&amp;""",""source"":"""&amp;$E15&amp;""",""rarity"":"""&amp;$F15&amp;""",""texture"":"""&amp;$G15&amp;""",""icon"":"""&amp;$H15&amp;""",""placeable"":""&amp;IF($I15,""true"",""false"")&amp;"",""effects"":[{""type"":"""&amp;$J15&amp;""",""value"":""&amp;TEXT($K15,""0.##"")&amp;""},{""type"":"""&amp;$L15&amp;""",""value"":""&amp;TEXT($M15,""0.##"")&amp;""}],""unlockType"":"""&amp;$Q15&amp;""",""desc"":"""&amp;$R15&amp;"""}" )</f>
        <v/>
      </c>
    </row>
    <row r="16" ht="72.5" customHeight="1" s="17">
      <c r="A16" s="11" t="inlineStr">
        <is>
          <t>item_cloth_campfire_01</t>
        </is>
      </c>
      <c r="B16" s="11" t="inlineStr">
        <is>
          <t>美味圍裙</t>
        </is>
      </c>
      <c r="C16" s="7" t="inlineStr">
        <is>
          <t>equipment</t>
        </is>
      </c>
      <c r="D16" s="11" t="inlineStr">
        <is>
          <t>cloth</t>
        </is>
      </c>
      <c r="E16" s="11" t="inlineStr">
        <is>
          <t>campfire</t>
        </is>
      </c>
      <c r="F16" s="11" t="inlineStr">
        <is>
          <t>rare</t>
        </is>
      </c>
      <c r="G16" s="11" t="inlineStr">
        <is>
          <t>cloth_cook</t>
        </is>
      </c>
      <c r="H16" s="11" t="inlineStr">
        <is>
          <t>icon_cloth_cook</t>
        </is>
      </c>
      <c r="I16" s="11" t="b">
        <v>0</v>
      </c>
      <c r="J16" s="11" t="inlineStr">
        <is>
          <t>rewardRate</t>
        </is>
      </c>
      <c r="K16" s="18" t="n">
        <v>0.2</v>
      </c>
      <c r="L16" s="11" t="inlineStr">
        <is>
          <t>none</t>
        </is>
      </c>
      <c r="M16" s="18" t="n">
        <v>0</v>
      </c>
      <c r="N16" s="19" t="n">
        <v>0.2</v>
      </c>
      <c r="O16" s="19" t="n">
        <v>0</v>
      </c>
      <c r="P16" s="10" t="n">
        <v>0</v>
      </c>
      <c r="Q16" s="11" t="inlineStr">
        <is>
          <t>drop</t>
        </is>
      </c>
      <c r="R16" s="11" t="inlineStr">
        <is>
          <t>料理時的必備圍裙</t>
        </is>
      </c>
      <c r="S16" s="11" t="inlineStr">
        <is>
          <t>測試中</t>
        </is>
      </c>
      <c r="T16" s="11" t="n"/>
      <c r="U16" s="11" t="b">
        <v>1</v>
      </c>
      <c r="V16" s="11" t="n">
        <v>15</v>
      </c>
      <c r="W16" s="7" t="inlineStr">
        <is>
          <t>campfire_015</t>
        </is>
      </c>
      <c r="X16" s="12">
        <f>IF($A16="","","{""id"":"""&amp;$A16&amp;""",""name"":"""&amp;$B16&amp;""",""category"":"""&amp;$C16&amp;""",""type"":"""&amp;$D16&amp;""",""source"":"""&amp;$E16&amp;""",""rarity"":"""&amp;$F16&amp;""",""texture"":"""&amp;$G16&amp;""",""icon"":"""&amp;$H16&amp;""",""placeable"":""&amp;IF($I16,""true"",""false"")&amp;"",""effects"":[{""type"":"""&amp;$J16&amp;""",""value"":""&amp;TEXT($K16,""0.##"")&amp;""},{""type"":"""&amp;$L16&amp;""",""value"":""&amp;TEXT($M16,""0.##"")&amp;""}],""unlockType"":"""&amp;$Q16&amp;""",""desc"":"""&amp;$R16&amp;"""}" )</f>
        <v/>
      </c>
    </row>
    <row r="17" ht="72.5" customHeight="1" s="17">
      <c r="A17" s="11" t="inlineStr">
        <is>
          <t>item_fullset_campfire_01</t>
        </is>
      </c>
      <c r="B17" s="11" t="inlineStr">
        <is>
          <t>三星大廚袍</t>
        </is>
      </c>
      <c r="C17" s="7" t="inlineStr">
        <is>
          <t>equipment</t>
        </is>
      </c>
      <c r="D17" s="11" t="inlineStr">
        <is>
          <t>fullset</t>
        </is>
      </c>
      <c r="E17" s="11" t="inlineStr">
        <is>
          <t>campfire</t>
        </is>
      </c>
      <c r="F17" s="11" t="inlineStr">
        <is>
          <t>rare</t>
        </is>
      </c>
      <c r="G17" s="11" t="inlineStr">
        <is>
          <t>fullset_cook</t>
        </is>
      </c>
      <c r="H17" s="11" t="inlineStr">
        <is>
          <t>icon_fullset_cook</t>
        </is>
      </c>
      <c r="I17" s="11" t="b">
        <v>0</v>
      </c>
      <c r="J17" s="11" t="inlineStr">
        <is>
          <t>extraMistake</t>
        </is>
      </c>
      <c r="K17" s="18" t="n">
        <v>1</v>
      </c>
      <c r="L17" s="11" t="inlineStr">
        <is>
          <t>none</t>
        </is>
      </c>
      <c r="M17" s="18" t="n">
        <v>0</v>
      </c>
      <c r="N17" s="19" t="n">
        <v>0</v>
      </c>
      <c r="O17" s="19" t="n">
        <v>0</v>
      </c>
      <c r="P17" s="10" t="n">
        <v>0</v>
      </c>
      <c r="Q17" s="11" t="inlineStr">
        <is>
          <t>drop</t>
        </is>
      </c>
      <c r="R17" s="11" t="inlineStr">
        <is>
          <t>穿上就像營火料理大師</t>
        </is>
      </c>
      <c r="S17" s="11" t="inlineStr">
        <is>
          <t>測試中</t>
        </is>
      </c>
      <c r="T17" s="11" t="n"/>
      <c r="U17" s="11" t="b">
        <v>1</v>
      </c>
      <c r="V17" s="11" t="n">
        <v>16</v>
      </c>
      <c r="W17" s="7" t="inlineStr">
        <is>
          <t>campfire_016</t>
        </is>
      </c>
      <c r="X17" s="12">
        <f>IF($A17="","","{""id"":"""&amp;$A17&amp;""",""name"":"""&amp;$B17&amp;""",""category"":"""&amp;$C17&amp;""",""type"":"""&amp;$D17&amp;""",""source"":"""&amp;$E17&amp;""",""rarity"":"""&amp;$F17&amp;""",""texture"":"""&amp;$G17&amp;""",""icon"":"""&amp;$H17&amp;""",""placeable"":""&amp;IF($I17,""true"",""false"")&amp;"",""effects"":[{""type"":"""&amp;$J17&amp;""",""value"":""&amp;TEXT($K17,""0.##"")&amp;""},{""type"":"""&amp;$L17&amp;""",""value"":""&amp;TEXT($M17,""0.##"")&amp;""}],""unlockType"":"""&amp;$Q17&amp;""",""desc"":"""&amp;$R17&amp;"""}" )</f>
        <v/>
      </c>
    </row>
    <row r="18" ht="72.5" customHeight="1" s="17">
      <c r="A18" s="11" t="inlineStr">
        <is>
          <t>item_tool_campfire_01</t>
        </is>
      </c>
      <c r="B18" s="11" t="inlineStr">
        <is>
          <t>黃金烤肉夾</t>
        </is>
      </c>
      <c r="C18" s="7" t="inlineStr">
        <is>
          <t>tool</t>
        </is>
      </c>
      <c r="D18" s="11" t="inlineStr">
        <is>
          <t>tool</t>
        </is>
      </c>
      <c r="E18" s="11" t="inlineStr">
        <is>
          <t>campfire</t>
        </is>
      </c>
      <c r="F18" s="11" t="inlineStr">
        <is>
          <t>rare</t>
        </is>
      </c>
      <c r="G18" s="11" t="inlineStr">
        <is>
          <t>tool_tongs</t>
        </is>
      </c>
      <c r="H18" s="11" t="inlineStr">
        <is>
          <t>icon_tongs</t>
        </is>
      </c>
      <c r="I18" s="11" t="b">
        <v>0</v>
      </c>
      <c r="J18" s="11" t="inlineStr">
        <is>
          <t>chestRate</t>
        </is>
      </c>
      <c r="K18" s="18" t="n">
        <v>0.1</v>
      </c>
      <c r="L18" s="11" t="inlineStr">
        <is>
          <t>none</t>
        </is>
      </c>
      <c r="M18" s="18" t="n">
        <v>0</v>
      </c>
      <c r="N18" s="19" t="n">
        <v>0</v>
      </c>
      <c r="O18" s="19" t="n">
        <v>0</v>
      </c>
      <c r="P18" s="10" t="n">
        <v>0</v>
      </c>
      <c r="Q18" s="11" t="inlineStr">
        <is>
          <t>drop</t>
        </is>
      </c>
      <c r="R18" s="11" t="inlineStr">
        <is>
          <t>傳說中不會烤焦食物的夾子</t>
        </is>
      </c>
      <c r="S18" s="11" t="inlineStr">
        <is>
          <t>測試中</t>
        </is>
      </c>
      <c r="T18" s="11" t="n"/>
      <c r="U18" s="11" t="b">
        <v>1</v>
      </c>
      <c r="V18" s="11" t="n">
        <v>17</v>
      </c>
      <c r="W18" s="7" t="inlineStr">
        <is>
          <t>campfire_017</t>
        </is>
      </c>
      <c r="X18" s="12">
        <f>IF($A18="","","{""id"":"""&amp;$A18&amp;""",""name"":"""&amp;$B18&amp;""",""category"":"""&amp;$C18&amp;""",""type"":"""&amp;$D18&amp;""",""source"":"""&amp;$E18&amp;""",""rarity"":"""&amp;$F18&amp;""",""texture"":"""&amp;$G18&amp;""",""icon"":"""&amp;$H18&amp;""",""placeable"":""&amp;IF($I18,""true"",""false"")&amp;"",""effects"":[{""type"":"""&amp;$J18&amp;""",""value"":""&amp;TEXT($K18,""0.##"")&amp;""},{""type"":"""&amp;$L18&amp;""",""value"":""&amp;TEXT($M18,""0.##"")&amp;""}],""unlockType"":"""&amp;$Q18&amp;""",""desc"":"""&amp;$R18&amp;"""}" )</f>
        <v/>
      </c>
    </row>
    <row r="19" ht="72.5" customHeight="1" s="17">
      <c r="A19" s="11" t="inlineStr">
        <is>
          <t>item_hat_constellation_01</t>
        </is>
      </c>
      <c r="B19" s="11" t="inlineStr">
        <is>
          <t>星辰魔法帽</t>
        </is>
      </c>
      <c r="C19" s="7" t="inlineStr">
        <is>
          <t>equipment</t>
        </is>
      </c>
      <c r="D19" s="11" t="inlineStr">
        <is>
          <t>hat</t>
        </is>
      </c>
      <c r="E19" s="11" t="inlineStr">
        <is>
          <t>constellation</t>
        </is>
      </c>
      <c r="F19" s="11" t="inlineStr">
        <is>
          <t>rare</t>
        </is>
      </c>
      <c r="G19" s="11" t="inlineStr">
        <is>
          <t>hat_constellation</t>
        </is>
      </c>
      <c r="H19" s="11" t="inlineStr">
        <is>
          <t>icon_hat_constellation</t>
        </is>
      </c>
      <c r="I19" s="11" t="b">
        <v>0</v>
      </c>
      <c r="J19" s="11" t="inlineStr">
        <is>
          <t>memoryHelp</t>
        </is>
      </c>
      <c r="K19" s="18" t="n">
        <v>1</v>
      </c>
      <c r="L19" s="11" t="inlineStr">
        <is>
          <t>none</t>
        </is>
      </c>
      <c r="M19" s="18" t="n">
        <v>0</v>
      </c>
      <c r="N19" s="19" t="n">
        <v>0</v>
      </c>
      <c r="O19" s="19" t="n">
        <v>0</v>
      </c>
      <c r="P19" s="10" t="n">
        <v>0</v>
      </c>
      <c r="Q19" s="11" t="inlineStr">
        <is>
          <t>drop</t>
        </is>
      </c>
      <c r="R19" s="11" t="inlineStr">
        <is>
          <t>讓星星連線變得更清楚</t>
        </is>
      </c>
      <c r="S19" s="11" t="inlineStr">
        <is>
          <t>測試中</t>
        </is>
      </c>
      <c r="T19" s="11" t="n"/>
      <c r="U19" s="11" t="b">
        <v>1</v>
      </c>
      <c r="V19" s="11" t="n">
        <v>18</v>
      </c>
      <c r="W19" s="7" t="inlineStr">
        <is>
          <t>constellation_018</t>
        </is>
      </c>
      <c r="X19" s="12">
        <f>IF($A19="","","{""id"":"""&amp;$A19&amp;""",""name"":"""&amp;$B19&amp;""",""category"":"""&amp;$C19&amp;""",""type"":"""&amp;$D19&amp;""",""source"":"""&amp;$E19&amp;""",""rarity"":"""&amp;$F19&amp;""",""texture"":"""&amp;$G19&amp;""",""icon"":"""&amp;$H19&amp;""",""placeable"":""&amp;IF($I19,""true"",""false"")&amp;"",""effects"":[{""type"":"""&amp;$J19&amp;""",""value"":""&amp;TEXT($K19,""0.##"")&amp;""},{""type"":"""&amp;$L19&amp;""",""value"":""&amp;TEXT($M19,""0.##"")&amp;""}],""unlockType"":"""&amp;$Q19&amp;""",""desc"":"""&amp;$R19&amp;"""}" )</f>
        <v/>
      </c>
    </row>
    <row r="20" ht="72.5" customHeight="1" s="17">
      <c r="A20" s="11" t="inlineStr">
        <is>
          <t>item_cloth_constellation_01</t>
        </is>
      </c>
      <c r="B20" s="11" t="inlineStr">
        <is>
          <t>銀河特工衣</t>
        </is>
      </c>
      <c r="C20" s="7" t="inlineStr">
        <is>
          <t>equipment</t>
        </is>
      </c>
      <c r="D20" s="11" t="inlineStr">
        <is>
          <t>cloth</t>
        </is>
      </c>
      <c r="E20" s="11" t="inlineStr">
        <is>
          <t>constellation</t>
        </is>
      </c>
      <c r="F20" s="11" t="inlineStr">
        <is>
          <t>rare</t>
        </is>
      </c>
      <c r="G20" s="11" t="inlineStr">
        <is>
          <t>cloth_constellation</t>
        </is>
      </c>
      <c r="H20" s="11" t="inlineStr">
        <is>
          <t>icon_cloth_constellation</t>
        </is>
      </c>
      <c r="I20" s="11" t="b">
        <v>0</v>
      </c>
      <c r="J20" s="11" t="inlineStr">
        <is>
          <t>rewardRate</t>
        </is>
      </c>
      <c r="K20" s="18" t="n">
        <v>0.15</v>
      </c>
      <c r="L20" s="11" t="inlineStr">
        <is>
          <t>none</t>
        </is>
      </c>
      <c r="M20" s="18" t="n">
        <v>0</v>
      </c>
      <c r="N20" s="19" t="n">
        <v>0.15</v>
      </c>
      <c r="O20" s="19" t="n">
        <v>0</v>
      </c>
      <c r="P20" s="10" t="n">
        <v>0</v>
      </c>
      <c r="Q20" s="11" t="inlineStr">
        <is>
          <t>drop</t>
        </is>
      </c>
      <c r="R20" s="11" t="inlineStr">
        <is>
          <t>像銀河巡航員一樣帥氣</t>
        </is>
      </c>
      <c r="S20" s="11" t="inlineStr">
        <is>
          <t>測試中</t>
        </is>
      </c>
      <c r="T20" s="11" t="n"/>
      <c r="U20" s="11" t="b">
        <v>1</v>
      </c>
      <c r="V20" s="11" t="n">
        <v>19</v>
      </c>
      <c r="W20" s="7" t="inlineStr">
        <is>
          <t>constellation_019</t>
        </is>
      </c>
      <c r="X20" s="12">
        <f>IF($A20="","","{""id"":"""&amp;$A20&amp;""",""name"":"""&amp;$B20&amp;""",""category"":"""&amp;$C20&amp;""",""type"":"""&amp;$D20&amp;""",""source"":"""&amp;$E20&amp;""",""rarity"":"""&amp;$F20&amp;""",""texture"":"""&amp;$G20&amp;""",""icon"":"""&amp;$H20&amp;""",""placeable"":""&amp;IF($I20,""true"",""false"")&amp;"",""effects"":[{""type"":"""&amp;$J20&amp;""",""value"":""&amp;TEXT($K20,""0.##"")&amp;""},{""type"":"""&amp;$L20&amp;""",""value"":""&amp;TEXT($M20,""0.##"")&amp;""}],""unlockType"":"""&amp;$Q20&amp;""",""desc"":"""&amp;$R20&amp;"""}" )</f>
        <v/>
      </c>
    </row>
    <row r="21" ht="72.5" customHeight="1" s="17">
      <c r="A21" s="11" t="inlineStr">
        <is>
          <t>item_fullset_constellation_01</t>
        </is>
      </c>
      <c r="B21" s="11" t="inlineStr">
        <is>
          <t>小小太空人</t>
        </is>
      </c>
      <c r="C21" s="7" t="inlineStr">
        <is>
          <t>equipment</t>
        </is>
      </c>
      <c r="D21" s="11" t="inlineStr">
        <is>
          <t>fullset</t>
        </is>
      </c>
      <c r="E21" s="11" t="inlineStr">
        <is>
          <t>constellation</t>
        </is>
      </c>
      <c r="F21" s="11" t="inlineStr">
        <is>
          <t>rare</t>
        </is>
      </c>
      <c r="G21" s="11" t="inlineStr">
        <is>
          <t>fullset_constellation</t>
        </is>
      </c>
      <c r="H21" s="11" t="inlineStr">
        <is>
          <t>icon_fullset_constellation</t>
        </is>
      </c>
      <c r="I21" s="11" t="b">
        <v>0</v>
      </c>
      <c r="J21" s="11" t="inlineStr">
        <is>
          <t>revealHint</t>
        </is>
      </c>
      <c r="K21" s="18" t="n">
        <v>1</v>
      </c>
      <c r="L21" s="11" t="inlineStr">
        <is>
          <t>none</t>
        </is>
      </c>
      <c r="M21" s="18" t="n">
        <v>0</v>
      </c>
      <c r="N21" s="19" t="n">
        <v>0</v>
      </c>
      <c r="O21" s="19" t="n">
        <v>0</v>
      </c>
      <c r="P21" s="10" t="n">
        <v>0</v>
      </c>
      <c r="Q21" s="11" t="inlineStr">
        <is>
          <t>drop</t>
        </is>
      </c>
      <c r="R21" s="11" t="inlineStr">
        <is>
          <t>穿上後像在夜空裡旅行</t>
        </is>
      </c>
      <c r="S21" s="11" t="inlineStr">
        <is>
          <t>測試中</t>
        </is>
      </c>
      <c r="T21" s="11" t="n"/>
      <c r="U21" s="11" t="b">
        <v>1</v>
      </c>
      <c r="V21" s="11" t="n">
        <v>20</v>
      </c>
      <c r="W21" s="7" t="inlineStr">
        <is>
          <t>constellation_020</t>
        </is>
      </c>
      <c r="X21" s="12">
        <f>IF($A21="","","{""id"":"""&amp;$A21&amp;""",""name"":"""&amp;$B21&amp;""",""category"":"""&amp;$C21&amp;""",""type"":"""&amp;$D21&amp;""",""source"":"""&amp;$E21&amp;""",""rarity"":"""&amp;$F21&amp;""",""texture"":"""&amp;$G21&amp;""",""icon"":"""&amp;$H21&amp;""",""placeable"":""&amp;IF($I21,""true"",""false"")&amp;"",""effects"":[{""type"":"""&amp;$J21&amp;""",""value"":""&amp;TEXT($K21,""0.##"")&amp;""},{""type"":"""&amp;$L21&amp;""",""value"":""&amp;TEXT($M21,""0.##"")&amp;""}],""unlockType"":"""&amp;$Q21&amp;""",""desc"":"""&amp;$R21&amp;"""}" )</f>
        <v/>
      </c>
    </row>
    <row r="22" ht="72.5" customHeight="1" s="17">
      <c r="A22" s="11" t="inlineStr">
        <is>
          <t>item_tool_constellation_01</t>
        </is>
      </c>
      <c r="B22" s="11" t="inlineStr">
        <is>
          <t>星光連線筆</t>
        </is>
      </c>
      <c r="C22" s="7" t="inlineStr">
        <is>
          <t>tool</t>
        </is>
      </c>
      <c r="D22" s="11" t="inlineStr">
        <is>
          <t>tool</t>
        </is>
      </c>
      <c r="E22" s="11" t="inlineStr">
        <is>
          <t>constellation</t>
        </is>
      </c>
      <c r="F22" s="11" t="inlineStr">
        <is>
          <t>rare</t>
        </is>
      </c>
      <c r="G22" s="11" t="inlineStr">
        <is>
          <t>tool_star_pen</t>
        </is>
      </c>
      <c r="H22" s="11" t="inlineStr">
        <is>
          <t>icon_star_pen</t>
        </is>
      </c>
      <c r="I22" s="11" t="b">
        <v>0</v>
      </c>
      <c r="J22" s="11" t="inlineStr">
        <is>
          <t>timeBonus</t>
        </is>
      </c>
      <c r="K22" s="18" t="n">
        <v>3</v>
      </c>
      <c r="L22" s="11" t="inlineStr">
        <is>
          <t>none</t>
        </is>
      </c>
      <c r="M22" s="18" t="n">
        <v>0</v>
      </c>
      <c r="N22" s="19" t="n">
        <v>0</v>
      </c>
      <c r="O22" s="19" t="n">
        <v>0</v>
      </c>
      <c r="P22" s="10" t="n">
        <v>0</v>
      </c>
      <c r="Q22" s="11" t="inlineStr">
        <is>
          <t>drop</t>
        </is>
      </c>
      <c r="R22" s="11" t="inlineStr">
        <is>
          <t>幫助你畫出完整的星座軌跡</t>
        </is>
      </c>
      <c r="S22" s="11" t="inlineStr">
        <is>
          <t>測試中</t>
        </is>
      </c>
      <c r="T22" s="11" t="n"/>
      <c r="U22" s="11" t="b">
        <v>1</v>
      </c>
      <c r="V22" s="11" t="n">
        <v>21</v>
      </c>
      <c r="W22" s="7" t="inlineStr">
        <is>
          <t>constellation_021</t>
        </is>
      </c>
      <c r="X22" s="12">
        <f>IF($A22="","","{""id"":"""&amp;$A22&amp;""",""name"":"""&amp;$B22&amp;""",""category"":"""&amp;$C22&amp;""",""type"":"""&amp;$D22&amp;""",""source"":"""&amp;$E22&amp;""",""rarity"":"""&amp;$F22&amp;""",""texture"":"""&amp;$G22&amp;""",""icon"":"""&amp;$H22&amp;""",""placeable"":""&amp;IF($I22,""true"",""false"")&amp;"",""effects"":[{""type"":"""&amp;$J22&amp;""",""value"":""&amp;TEXT($K22,""0.##"")&amp;""},{""type"":"""&amp;$L22&amp;""",""value"":""&amp;TEXT($M22,""0.##"")&amp;""}],""unlockType"":"""&amp;$Q22&amp;""",""desc"":"""&amp;$R22&amp;"""}" )</f>
        <v/>
      </c>
    </row>
    <row r="23" ht="72.5" customHeight="1" s="17">
      <c r="A23" s="11" t="inlineStr">
        <is>
          <t>item_hat_animals_01</t>
        </is>
      </c>
      <c r="B23" s="11" t="inlineStr">
        <is>
          <t>動物耳朵帽</t>
        </is>
      </c>
      <c r="C23" s="7" t="inlineStr">
        <is>
          <t>equipment</t>
        </is>
      </c>
      <c r="D23" s="11" t="inlineStr">
        <is>
          <t>hat</t>
        </is>
      </c>
      <c r="E23" s="11" t="inlineStr">
        <is>
          <t>animals</t>
        </is>
      </c>
      <c r="F23" s="11" t="inlineStr">
        <is>
          <t>rare</t>
        </is>
      </c>
      <c r="G23" s="11" t="inlineStr">
        <is>
          <t>hat_animals</t>
        </is>
      </c>
      <c r="H23" s="11" t="inlineStr">
        <is>
          <t>icon_hat_animals</t>
        </is>
      </c>
      <c r="I23" s="11" t="b">
        <v>0</v>
      </c>
      <c r="J23" s="11" t="inlineStr">
        <is>
          <t>revealHint</t>
        </is>
      </c>
      <c r="K23" s="18" t="n">
        <v>1</v>
      </c>
      <c r="L23" s="11" t="inlineStr">
        <is>
          <t>none</t>
        </is>
      </c>
      <c r="M23" s="18" t="n">
        <v>0</v>
      </c>
      <c r="N23" s="19" t="n">
        <v>0</v>
      </c>
      <c r="O23" s="19" t="n">
        <v>0</v>
      </c>
      <c r="P23" s="10" t="n">
        <v>0</v>
      </c>
      <c r="Q23" s="11" t="inlineStr">
        <is>
          <t>drop</t>
        </is>
      </c>
      <c r="R23" s="11" t="inlineStr">
        <is>
          <t>可愛的動物耳朵帽</t>
        </is>
      </c>
      <c r="S23" s="11" t="inlineStr">
        <is>
          <t>測試中</t>
        </is>
      </c>
      <c r="T23" s="11" t="n"/>
      <c r="U23" s="11" t="b">
        <v>1</v>
      </c>
      <c r="V23" s="11" t="n">
        <v>22</v>
      </c>
      <c r="W23" s="7" t="inlineStr">
        <is>
          <t>animals_022</t>
        </is>
      </c>
      <c r="X23" s="12">
        <f>IF($A23="","","{""id"":"""&amp;$A23&amp;""",""name"":"""&amp;$B23&amp;""",""category"":"""&amp;$C23&amp;""",""type"":"""&amp;$D23&amp;""",""source"":"""&amp;$E23&amp;""",""rarity"":"""&amp;$F23&amp;""",""texture"":"""&amp;$G23&amp;""",""icon"":"""&amp;$H23&amp;""",""placeable"":""&amp;IF($I23,""true"",""false"")&amp;"",""effects"":[{""type"":"""&amp;$J23&amp;""",""value"":""&amp;TEXT($K23,""0.##"")&amp;""},{""type"":"""&amp;$L23&amp;""",""value"":""&amp;TEXT($M23,""0.##"")&amp;""}],""unlockType"":"""&amp;$Q23&amp;""",""desc"":"""&amp;$R23&amp;"""}" )</f>
        <v/>
      </c>
    </row>
    <row r="24" ht="72.5" customHeight="1" s="17">
      <c r="A24" s="11" t="inlineStr">
        <is>
          <t>item_cloth_animals_01</t>
        </is>
      </c>
      <c r="B24" s="11" t="inlineStr">
        <is>
          <t>排隊小隊長服</t>
        </is>
      </c>
      <c r="C24" s="7" t="inlineStr">
        <is>
          <t>equipment</t>
        </is>
      </c>
      <c r="D24" s="11" t="inlineStr">
        <is>
          <t>cloth</t>
        </is>
      </c>
      <c r="E24" s="11" t="inlineStr">
        <is>
          <t>animals</t>
        </is>
      </c>
      <c r="F24" s="11" t="inlineStr">
        <is>
          <t>rare</t>
        </is>
      </c>
      <c r="G24" s="11" t="inlineStr">
        <is>
          <t>cloth_animals</t>
        </is>
      </c>
      <c r="H24" s="11" t="inlineStr">
        <is>
          <t>icon_cloth_animals</t>
        </is>
      </c>
      <c r="I24" s="11" t="b">
        <v>0</v>
      </c>
      <c r="J24" s="11" t="inlineStr">
        <is>
          <t>slowDown</t>
        </is>
      </c>
      <c r="K24" s="18" t="n">
        <v>0.15</v>
      </c>
      <c r="L24" s="11" t="inlineStr">
        <is>
          <t>none</t>
        </is>
      </c>
      <c r="M24" s="18" t="n">
        <v>0</v>
      </c>
      <c r="N24" s="19" t="n">
        <v>0</v>
      </c>
      <c r="O24" s="19" t="n">
        <v>0</v>
      </c>
      <c r="P24" s="10" t="n">
        <v>0</v>
      </c>
      <c r="Q24" s="11" t="inlineStr">
        <is>
          <t>drop</t>
        </is>
      </c>
      <c r="R24" s="11" t="inlineStr">
        <is>
          <t>讓動物排隊節奏慢一些</t>
        </is>
      </c>
      <c r="S24" s="11" t="inlineStr">
        <is>
          <t>測試中</t>
        </is>
      </c>
      <c r="T24" s="11" t="n"/>
      <c r="U24" s="11" t="b">
        <v>1</v>
      </c>
      <c r="V24" s="11" t="n">
        <v>23</v>
      </c>
      <c r="W24" s="7" t="inlineStr">
        <is>
          <t>animals_023</t>
        </is>
      </c>
      <c r="X24" s="12">
        <f>IF($A24="","","{""id"":"""&amp;$A24&amp;""",""name"":"""&amp;$B24&amp;""",""category"":"""&amp;$C24&amp;""",""type"":"""&amp;$D24&amp;""",""source"":"""&amp;$E24&amp;""",""rarity"":"""&amp;$F24&amp;""",""texture"":"""&amp;$G24&amp;""",""icon"":"""&amp;$H24&amp;""",""placeable"":""&amp;IF($I24,""true"",""false"")&amp;"",""effects"":[{""type"":"""&amp;$J24&amp;""",""value"":""&amp;TEXT($K24,""0.##"")&amp;""},{""type"":"""&amp;$L24&amp;""",""value"":""&amp;TEXT($M24,""0.##"")&amp;""}],""unlockType"":"""&amp;$Q24&amp;""",""desc"":"""&amp;$R24&amp;"""}" )</f>
        <v/>
      </c>
    </row>
    <row r="25" ht="72.5" customHeight="1" s="17">
      <c r="A25" s="11" t="inlineStr">
        <is>
          <t>item_fullset_animals_01</t>
        </is>
      </c>
      <c r="B25" s="11" t="inlineStr">
        <is>
          <t>毛茸茸熊裝</t>
        </is>
      </c>
      <c r="C25" s="7" t="inlineStr">
        <is>
          <t>equipment</t>
        </is>
      </c>
      <c r="D25" s="11" t="inlineStr">
        <is>
          <t>fullset</t>
        </is>
      </c>
      <c r="E25" s="11" t="inlineStr">
        <is>
          <t>animals</t>
        </is>
      </c>
      <c r="F25" s="11" t="inlineStr">
        <is>
          <t>rare</t>
        </is>
      </c>
      <c r="G25" s="11" t="inlineStr">
        <is>
          <t>fullset_animals</t>
        </is>
      </c>
      <c r="H25" s="11" t="inlineStr">
        <is>
          <t>icon_fullset_animals</t>
        </is>
      </c>
      <c r="I25" s="11" t="b">
        <v>0</v>
      </c>
      <c r="J25" s="11" t="inlineStr">
        <is>
          <t>extraMistake</t>
        </is>
      </c>
      <c r="K25" s="18" t="n">
        <v>1</v>
      </c>
      <c r="L25" s="11" t="inlineStr">
        <is>
          <t>none</t>
        </is>
      </c>
      <c r="M25" s="18" t="n">
        <v>0</v>
      </c>
      <c r="N25" s="19" t="n">
        <v>0</v>
      </c>
      <c r="O25" s="19" t="n">
        <v>0</v>
      </c>
      <c r="P25" s="10" t="n">
        <v>0</v>
      </c>
      <c r="Q25" s="11" t="inlineStr">
        <is>
          <t>drop</t>
        </is>
      </c>
      <c r="R25" s="11" t="inlineStr">
        <is>
          <t>毛茸茸的熊熊套裝</t>
        </is>
      </c>
      <c r="S25" s="11" t="inlineStr">
        <is>
          <t>測試中</t>
        </is>
      </c>
      <c r="T25" s="11" t="n"/>
      <c r="U25" s="11" t="b">
        <v>1</v>
      </c>
      <c r="V25" s="11" t="n">
        <v>24</v>
      </c>
      <c r="W25" s="7" t="inlineStr">
        <is>
          <t>animals_024</t>
        </is>
      </c>
      <c r="X25" s="12">
        <f>IF($A25="","","{""id"":"""&amp;$A25&amp;""",""name"":"""&amp;$B25&amp;""",""category"":"""&amp;$C25&amp;""",""type"":"""&amp;$D25&amp;""",""source"":"""&amp;$E25&amp;""",""rarity"":"""&amp;$F25&amp;""",""texture"":"""&amp;$G25&amp;""",""icon"":"""&amp;$H25&amp;""",""placeable"":""&amp;IF($I25,""true"",""false"")&amp;"",""effects"":[{""type"":"""&amp;$J25&amp;""",""value"":""&amp;TEXT($K25,""0.##"")&amp;""},{""type"":"""&amp;$L25&amp;""",""value"":""&amp;TEXT($M25,""0.##"")&amp;""}],""unlockType"":"""&amp;$Q25&amp;""",""desc"":"""&amp;$R25&amp;"""}" )</f>
        <v/>
      </c>
    </row>
    <row r="26" ht="72.5" customHeight="1" s="17">
      <c r="A26" s="11" t="inlineStr">
        <is>
          <t>item_tool_animals_01</t>
        </is>
      </c>
      <c r="B26" s="11" t="inlineStr">
        <is>
          <t>森林指揮棒</t>
        </is>
      </c>
      <c r="C26" s="7" t="inlineStr">
        <is>
          <t>tool</t>
        </is>
      </c>
      <c r="D26" s="11" t="inlineStr">
        <is>
          <t>tool</t>
        </is>
      </c>
      <c r="E26" s="11" t="inlineStr">
        <is>
          <t>animals</t>
        </is>
      </c>
      <c r="F26" s="11" t="inlineStr">
        <is>
          <t>rare</t>
        </is>
      </c>
      <c r="G26" s="11" t="inlineStr">
        <is>
          <t>tool_baton</t>
        </is>
      </c>
      <c r="H26" s="11" t="inlineStr">
        <is>
          <t>icon_baton</t>
        </is>
      </c>
      <c r="I26" s="11" t="b">
        <v>0</v>
      </c>
      <c r="J26" s="11" t="inlineStr">
        <is>
          <t>rewardRate</t>
        </is>
      </c>
      <c r="K26" s="18" t="n">
        <v>0.15</v>
      </c>
      <c r="L26" s="11" t="inlineStr">
        <is>
          <t>none</t>
        </is>
      </c>
      <c r="M26" s="18" t="n">
        <v>0</v>
      </c>
      <c r="N26" s="19" t="n">
        <v>0.15</v>
      </c>
      <c r="O26" s="19" t="n">
        <v>0</v>
      </c>
      <c r="P26" s="10" t="n">
        <v>0</v>
      </c>
      <c r="Q26" s="11" t="inlineStr">
        <is>
          <t>drop</t>
        </is>
      </c>
      <c r="R26" s="11" t="inlineStr">
        <is>
          <t>揮一揮，動物們就排好隊</t>
        </is>
      </c>
      <c r="S26" s="11" t="inlineStr">
        <is>
          <t>測試中</t>
        </is>
      </c>
      <c r="T26" s="11" t="n"/>
      <c r="U26" s="11" t="b">
        <v>1</v>
      </c>
      <c r="V26" s="11" t="n">
        <v>25</v>
      </c>
      <c r="W26" s="7" t="inlineStr">
        <is>
          <t>animals_025</t>
        </is>
      </c>
      <c r="X26" s="12">
        <f>IF($A26="","","{""id"":"""&amp;$A26&amp;""",""name"":"""&amp;$B26&amp;""",""category"":"""&amp;$C26&amp;""",""type"":"""&amp;$D26&amp;""",""source"":"""&amp;$E26&amp;""",""rarity"":"""&amp;$F26&amp;""",""texture"":"""&amp;$G26&amp;""",""icon"":"""&amp;$H26&amp;""",""placeable"":""&amp;IF($I26,""true"",""false"")&amp;"",""effects"":[{""type"":"""&amp;$J26&amp;""",""value"":""&amp;TEXT($K26,""0.##"")&amp;""},{""type"":"""&amp;$L26&amp;""",""value"":""&amp;TEXT($M26,""0.##"")&amp;""}],""unlockType"":"""&amp;$Q26&amp;""",""desc"":"""&amp;$R26&amp;"""}" )</f>
        <v/>
      </c>
    </row>
    <row r="27" ht="72.5" customHeight="1" s="17">
      <c r="A27" s="11" t="inlineStr">
        <is>
          <t>item_hat_global_01</t>
        </is>
      </c>
      <c r="B27" s="11" t="inlineStr">
        <is>
          <t>紅色運動帽</t>
        </is>
      </c>
      <c r="C27" s="7" t="inlineStr">
        <is>
          <t>equipment</t>
        </is>
      </c>
      <c r="D27" s="11" t="inlineStr">
        <is>
          <t>hat</t>
        </is>
      </c>
      <c r="E27" s="11" t="inlineStr">
        <is>
          <t>global</t>
        </is>
      </c>
      <c r="F27" s="11" t="inlineStr">
        <is>
          <t>common</t>
        </is>
      </c>
      <c r="G27" s="11" t="inlineStr">
        <is>
          <t>hat_red_sport</t>
        </is>
      </c>
      <c r="H27" s="11" t="inlineStr">
        <is>
          <t>icon_hat_red_sport</t>
        </is>
      </c>
      <c r="I27" s="11" t="b">
        <v>0</v>
      </c>
      <c r="J27" s="11" t="inlineStr">
        <is>
          <t>extraPlayCount</t>
        </is>
      </c>
      <c r="K27" s="18" t="n">
        <v>1</v>
      </c>
      <c r="L27" s="11" t="inlineStr">
        <is>
          <t>none</t>
        </is>
      </c>
      <c r="M27" s="18" t="n">
        <v>0</v>
      </c>
      <c r="N27" s="19" t="n">
        <v>0</v>
      </c>
      <c r="O27" s="19" t="n">
        <v>0</v>
      </c>
      <c r="P27" s="10" t="n">
        <v>1</v>
      </c>
      <c r="Q27" s="11" t="inlineStr">
        <is>
          <t>shop</t>
        </is>
      </c>
      <c r="R27" s="11" t="inlineStr">
        <is>
          <t>運動風的紅色帽子</t>
        </is>
      </c>
      <c r="S27" s="11" t="inlineStr">
        <is>
          <t>測試中</t>
        </is>
      </c>
      <c r="T27" s="11" t="n"/>
      <c r="U27" s="11" t="b">
        <v>1</v>
      </c>
      <c r="V27" s="11" t="n">
        <v>26</v>
      </c>
      <c r="W27" s="7" t="inlineStr">
        <is>
          <t>global_026</t>
        </is>
      </c>
      <c r="X27" s="12">
        <f>IF($A27="","","{""id"":"""&amp;$A27&amp;""",""name"":"""&amp;$B27&amp;""",""category"":"""&amp;$C27&amp;""",""type"":"""&amp;$D27&amp;""",""source"":"""&amp;$E27&amp;""",""rarity"":"""&amp;$F27&amp;""",""texture"":"""&amp;$G27&amp;""",""icon"":"""&amp;$H27&amp;""",""placeable"":""&amp;IF($I27,""true"",""false"")&amp;"",""effects"":[{""type"":"""&amp;$J27&amp;""",""value"":""&amp;TEXT($K27,""0.##"")&amp;""},{""type"":"""&amp;$L27&amp;""",""value"":""&amp;TEXT($M27,""0.##"")&amp;""}],""unlockType"":"""&amp;$Q27&amp;""",""desc"":"""&amp;$R27&amp;"""}" )</f>
        <v/>
      </c>
    </row>
    <row r="28" ht="72.5" customHeight="1" s="17">
      <c r="A28" s="11" t="inlineStr">
        <is>
          <t>item_cloth_global_01</t>
        </is>
      </c>
      <c r="B28" s="11" t="inlineStr">
        <is>
          <t>紅色運動服</t>
        </is>
      </c>
      <c r="C28" s="7" t="inlineStr">
        <is>
          <t>equipment</t>
        </is>
      </c>
      <c r="D28" s="11" t="inlineStr">
        <is>
          <t>cloth</t>
        </is>
      </c>
      <c r="E28" s="11" t="inlineStr">
        <is>
          <t>global</t>
        </is>
      </c>
      <c r="F28" s="11" t="inlineStr">
        <is>
          <t>common</t>
        </is>
      </c>
      <c r="G28" s="11" t="inlineStr">
        <is>
          <t>cloth_red_sport</t>
        </is>
      </c>
      <c r="H28" s="11" t="inlineStr">
        <is>
          <t>icon_cloth_red_sport</t>
        </is>
      </c>
      <c r="I28" s="11" t="b">
        <v>0</v>
      </c>
      <c r="J28" s="11" t="inlineStr">
        <is>
          <t>rewardRate</t>
        </is>
      </c>
      <c r="K28" s="18" t="n">
        <v>0.1</v>
      </c>
      <c r="L28" s="11" t="inlineStr">
        <is>
          <t>none</t>
        </is>
      </c>
      <c r="M28" s="18" t="n">
        <v>0</v>
      </c>
      <c r="N28" s="19" t="n">
        <v>0.1</v>
      </c>
      <c r="O28" s="19" t="n">
        <v>0</v>
      </c>
      <c r="P28" s="10" t="n">
        <v>0</v>
      </c>
      <c r="Q28" s="11" t="inlineStr">
        <is>
          <t>shop</t>
        </is>
      </c>
      <c r="R28" s="11" t="inlineStr">
        <is>
          <t>大人帶幼兒園的運動服</t>
        </is>
      </c>
      <c r="S28" s="11" t="inlineStr">
        <is>
          <t>測試中</t>
        </is>
      </c>
      <c r="T28" s="11" t="n"/>
      <c r="U28" s="11" t="b">
        <v>1</v>
      </c>
      <c r="V28" s="11" t="n">
        <v>27</v>
      </c>
      <c r="W28" s="7" t="inlineStr">
        <is>
          <t>global_027</t>
        </is>
      </c>
      <c r="X28" s="12">
        <f>IF($A28="","","{""id"":"""&amp;$A28&amp;""",""name"":"""&amp;$B28&amp;""",""category"":"""&amp;$C28&amp;""",""type"":"""&amp;$D28&amp;""",""source"":"""&amp;$E28&amp;""",""rarity"":"""&amp;$F28&amp;""",""texture"":"""&amp;$G28&amp;""",""icon"":"""&amp;$H28&amp;""",""placeable"":""&amp;IF($I28,""true"",""false"")&amp;"",""effects"":[{""type"":"""&amp;$J28&amp;""",""value"":""&amp;TEXT($K28,""0.##"")&amp;""},{""type"":"""&amp;$L28&amp;""",""value"":""&amp;TEXT($M28,""0.##"")&amp;""}],""unlockType"":"""&amp;$Q28&amp;""",""desc"":"""&amp;$R28&amp;"""}" )</f>
        <v/>
      </c>
    </row>
    <row r="29" ht="72.5" customHeight="1" s="17">
      <c r="A29" s="11" t="inlineStr">
        <is>
          <t>item_fullset_global_01</t>
        </is>
      </c>
      <c r="B29" s="11" t="inlineStr">
        <is>
          <t>五迷服</t>
        </is>
      </c>
      <c r="C29" s="7" t="inlineStr">
        <is>
          <t>equipment</t>
        </is>
      </c>
      <c r="D29" s="11" t="inlineStr">
        <is>
          <t>fullset</t>
        </is>
      </c>
      <c r="E29" s="11" t="inlineStr">
        <is>
          <t>global</t>
        </is>
      </c>
      <c r="F29" s="11" t="inlineStr">
        <is>
          <t>common</t>
        </is>
      </c>
      <c r="G29" s="11" t="inlineStr">
        <is>
          <t>fullset_fan</t>
        </is>
      </c>
      <c r="H29" s="11" t="inlineStr">
        <is>
          <t>icon_fullset_fan</t>
        </is>
      </c>
      <c r="I29" s="11" t="b">
        <v>0</v>
      </c>
      <c r="J29" s="11" t="inlineStr">
        <is>
          <t>rewardRate</t>
        </is>
      </c>
      <c r="K29" s="18" t="n">
        <v>0.1</v>
      </c>
      <c r="L29" s="11" t="inlineStr">
        <is>
          <t>dropRate</t>
        </is>
      </c>
      <c r="M29" s="18" t="n">
        <v>0.05</v>
      </c>
      <c r="N29" s="19" t="n">
        <v>0.1</v>
      </c>
      <c r="O29" s="19" t="n">
        <v>0.05</v>
      </c>
      <c r="P29" s="10" t="n">
        <v>0</v>
      </c>
      <c r="Q29" s="11" t="inlineStr">
        <is>
          <t>event</t>
        </is>
      </c>
      <c r="R29" s="11" t="inlineStr">
        <is>
          <t>五月大的小粉絲</t>
        </is>
      </c>
      <c r="S29" s="11" t="inlineStr">
        <is>
          <t>測試中</t>
        </is>
      </c>
      <c r="T29" s="11" t="n"/>
      <c r="U29" s="11" t="b">
        <v>1</v>
      </c>
      <c r="V29" s="11" t="n">
        <v>28</v>
      </c>
      <c r="W29" s="7" t="inlineStr">
        <is>
          <t>global_028</t>
        </is>
      </c>
      <c r="X29" s="12">
        <f>IF($A29="","","{""id"":"""&amp;$A29&amp;""",""name"":"""&amp;$B29&amp;""",""category"":"""&amp;$C29&amp;""",""type"":"""&amp;$D29&amp;""",""source"":"""&amp;$E29&amp;""",""rarity"":"""&amp;$F29&amp;""",""texture"":"""&amp;$G29&amp;""",""icon"":"""&amp;$H29&amp;""",""placeable"":""&amp;IF($I29,""true"",""false"")&amp;"",""effects"":[{""type"":"""&amp;$J29&amp;""",""value"":""&amp;TEXT($K29,""0.##"")&amp;""},{""type"":"""&amp;$L29&amp;""",""value"":""&amp;TEXT($M29,""0.##"")&amp;""}],""unlockType"":"""&amp;$Q29&amp;""",""desc"":"""&amp;$R29&amp;"""}" )</f>
        <v/>
      </c>
    </row>
    <row r="30" ht="72.5" customHeight="1" s="17">
      <c r="A30" s="11" t="inlineStr">
        <is>
          <t>item_tool_global_01</t>
        </is>
      </c>
      <c r="B30" s="11" t="inlineStr">
        <is>
          <t>幸運吊飾</t>
        </is>
      </c>
      <c r="C30" s="7" t="inlineStr">
        <is>
          <t>tool</t>
        </is>
      </c>
      <c r="D30" s="11" t="inlineStr">
        <is>
          <t>tool</t>
        </is>
      </c>
      <c r="E30" s="11" t="inlineStr">
        <is>
          <t>global</t>
        </is>
      </c>
      <c r="F30" s="11" t="inlineStr">
        <is>
          <t>rare</t>
        </is>
      </c>
      <c r="G30" s="11" t="inlineStr">
        <is>
          <t>tool_charm</t>
        </is>
      </c>
      <c r="H30" s="11" t="inlineStr">
        <is>
          <t>icon_charm</t>
        </is>
      </c>
      <c r="I30" s="11" t="b">
        <v>0</v>
      </c>
      <c r="J30" s="11" t="inlineStr">
        <is>
          <t>chestRate</t>
        </is>
      </c>
      <c r="K30" s="18" t="n">
        <v>0.08</v>
      </c>
      <c r="L30" s="11" t="inlineStr">
        <is>
          <t>none</t>
        </is>
      </c>
      <c r="M30" s="18" t="n">
        <v>0</v>
      </c>
      <c r="N30" s="19" t="n">
        <v>0</v>
      </c>
      <c r="O30" s="19" t="n">
        <v>0</v>
      </c>
      <c r="P30" s="10" t="n">
        <v>0</v>
      </c>
      <c r="Q30" s="11" t="inlineStr">
        <is>
          <t>shop</t>
        </is>
      </c>
      <c r="R30" s="11" t="inlineStr">
        <is>
          <t>掛在背包上會帶來好運</t>
        </is>
      </c>
      <c r="S30" s="11" t="inlineStr">
        <is>
          <t>測試中</t>
        </is>
      </c>
      <c r="T30" s="11" t="n"/>
      <c r="U30" s="11" t="b">
        <v>1</v>
      </c>
      <c r="V30" s="11" t="n">
        <v>29</v>
      </c>
      <c r="W30" s="7" t="inlineStr">
        <is>
          <t>global_029</t>
        </is>
      </c>
      <c r="X30" s="12">
        <f>IF($A30="","","{""id"":"""&amp;$A30&amp;""",""name"":"""&amp;$B30&amp;""",""category"":"""&amp;$C30&amp;""",""type"":"""&amp;$D30&amp;""",""source"":"""&amp;$E30&amp;""",""rarity"":"""&amp;$F30&amp;""",""texture"":"""&amp;$G30&amp;""",""icon"":"""&amp;$H30&amp;""",""placeable"":""&amp;IF($I30,""true"",""false"")&amp;"",""effects"":[{""type"":"""&amp;$J30&amp;""",""value"":""&amp;TEXT($K30,""0.##"")&amp;""},{""type"":"""&amp;$L30&amp;""",""value"":""&amp;TEXT($M30,""0.##"")&amp;""}],""unlockType"":"""&amp;$Q30&amp;""",""desc"":"""&amp;$R30&amp;"""}" )</f>
        <v/>
      </c>
    </row>
    <row r="31" ht="72.5" customHeight="1" s="17">
      <c r="A31" s="11" t="inlineStr">
        <is>
          <t>item_fullset_guard_secret</t>
        </is>
      </c>
      <c r="B31" s="11" t="inlineStr">
        <is>
          <t>母上的守護</t>
        </is>
      </c>
      <c r="C31" s="7" t="inlineStr">
        <is>
          <t>equipment</t>
        </is>
      </c>
      <c r="D31" s="11" t="inlineStr">
        <is>
          <t>fullset</t>
        </is>
      </c>
      <c r="E31" s="11" t="inlineStr">
        <is>
          <t>secret</t>
        </is>
      </c>
      <c r="F31" s="11" t="inlineStr">
        <is>
          <t>legendary</t>
        </is>
      </c>
      <c r="G31" s="11" t="inlineStr">
        <is>
          <t>fullset_guard</t>
        </is>
      </c>
      <c r="H31" s="11" t="inlineStr">
        <is>
          <t>icon_guard</t>
        </is>
      </c>
      <c r="I31" s="11" t="b">
        <v>0</v>
      </c>
      <c r="J31" s="11" t="inlineStr">
        <is>
          <t>freeEntry</t>
        </is>
      </c>
      <c r="K31" s="18" t="n">
        <v>1</v>
      </c>
      <c r="L31" s="11" t="inlineStr">
        <is>
          <t>freeStageEntry</t>
        </is>
      </c>
      <c r="M31" s="18" t="n">
        <v>1</v>
      </c>
      <c r="N31" s="19" t="n">
        <v>0</v>
      </c>
      <c r="O31" s="19" t="n">
        <v>0</v>
      </c>
      <c r="P31" s="10" t="n">
        <v>0</v>
      </c>
      <c r="Q31" s="11" t="inlineStr">
        <is>
          <t>secret</t>
        </is>
      </c>
      <c r="R31" s="11" t="inlineStr">
        <is>
          <t>感受到了母親大人的愛意</t>
        </is>
      </c>
      <c r="S31" s="11" t="inlineStr">
        <is>
          <t>測試中</t>
        </is>
      </c>
      <c r="T31" s="11" t="inlineStr">
        <is>
          <t>彩蛋裝備：5秒內依序點擊愛心→水晶→聲望</t>
        </is>
      </c>
      <c r="U31" s="11" t="b">
        <v>1</v>
      </c>
      <c r="V31" s="11" t="n">
        <v>30</v>
      </c>
      <c r="W31" s="7" t="inlineStr">
        <is>
          <t>secret_030</t>
        </is>
      </c>
      <c r="X31" s="12">
        <f>IF($A31="","","{""id"":"""&amp;$A31&amp;""",""name"":"""&amp;$B31&amp;""",""category"":"""&amp;$C31&amp;""",""type"":"""&amp;$D31&amp;""",""source"":"""&amp;$E31&amp;""",""rarity"":"""&amp;$F31&amp;""",""texture"":"""&amp;$G31&amp;""",""icon"":"""&amp;$H31&amp;""",""placeable"":""&amp;IF($I31,""true"",""false"")&amp;"",""effects"":[{""type"":"""&amp;$J31&amp;""",""value"":""&amp;TEXT($K31,""0.##"")&amp;""},{""type"":"""&amp;$L31&amp;""",""value"":""&amp;TEXT($M31,""0.##"")&amp;""}],""unlockType"":"""&amp;$Q31&amp;""",""desc"":"""&amp;$R31&amp;"""}" )</f>
        <v/>
      </c>
    </row>
  </sheetData>
  <dataValidations count="1">
    <dataValidation sqref="I2:I500 U2:U500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17" min="1" max="1"/>
    <col width="18" customWidth="1" style="17" min="2" max="2"/>
    <col width="12" customWidth="1" style="17" min="3" max="3"/>
    <col width="16" customWidth="1" style="17" min="4" max="4"/>
    <col width="10" customWidth="1" style="17" min="5" max="5"/>
    <col width="24" customWidth="1" style="17" min="6" max="7"/>
    <col width="10" customWidth="1" style="17" min="8" max="8"/>
    <col width="14" customWidth="1" style="17" min="9" max="9"/>
    <col width="12" customWidth="1" style="17" min="10" max="10"/>
    <col width="14" customWidth="1" style="17" min="11" max="11"/>
    <col width="12" customWidth="1" style="17" min="12" max="12"/>
    <col width="14" customWidth="1" style="17" min="13" max="13"/>
    <col width="32" customWidth="1" style="17" min="14" max="14"/>
    <col width="14" customWidth="1" style="17" min="15" max="15"/>
    <col width="10" customWidth="1" style="17" min="16" max="16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type</t>
        </is>
      </c>
      <c r="D1" s="5" t="inlineStr">
        <is>
          <t>source</t>
        </is>
      </c>
      <c r="E1" s="5" t="inlineStr">
        <is>
          <t>rarity</t>
        </is>
      </c>
      <c r="F1" s="5" t="inlineStr">
        <is>
          <t>texture</t>
        </is>
      </c>
      <c r="G1" s="5" t="inlineStr">
        <is>
          <t>icon</t>
        </is>
      </c>
      <c r="H1" s="5" t="inlineStr">
        <is>
          <t>placeable</t>
        </is>
      </c>
      <c r="I1" s="5" t="inlineStr">
        <is>
          <t>effect1_type</t>
        </is>
      </c>
      <c r="J1" s="5" t="inlineStr">
        <is>
          <t>effect1_value</t>
        </is>
      </c>
      <c r="K1" s="5" t="inlineStr">
        <is>
          <t>effect2_type</t>
        </is>
      </c>
      <c r="L1" s="5" t="inlineStr">
        <is>
          <t>effect2_value</t>
        </is>
      </c>
      <c r="M1" s="5" t="inlineStr">
        <is>
          <t>unlockType</t>
        </is>
      </c>
      <c r="N1" s="5" t="inlineStr">
        <is>
          <t>desc</t>
        </is>
      </c>
      <c r="O1" s="5" t="inlineStr">
        <is>
          <t>gameKey</t>
        </is>
      </c>
      <c r="P1" s="5" t="inlineStr">
        <is>
          <t>sortOrder</t>
        </is>
      </c>
    </row>
    <row r="2">
      <c r="A2" s="13">
        <f>IF(equipment_master!$U2=FALSE,"",equipment_master!$A2)</f>
        <v/>
      </c>
      <c r="B2" s="13">
        <f>IF($A2="","",equipment_master!$B2)</f>
        <v/>
      </c>
      <c r="C2" s="13">
        <f>IF($A2="","",equipment_master!$D2)</f>
        <v/>
      </c>
      <c r="D2" s="13">
        <f>IF($A2="","",equipment_master!$E2)</f>
        <v/>
      </c>
      <c r="E2" s="13">
        <f>IF($A2="","",equipment_master!$F2)</f>
        <v/>
      </c>
      <c r="F2" s="13">
        <f>IF($A2="","",equipment_master!$G2)</f>
        <v/>
      </c>
      <c r="G2" s="13">
        <f>IF($A2="","",equipment_master!$H2)</f>
        <v/>
      </c>
      <c r="H2" s="13">
        <f>IF($A2="","",equipment_master!$I2)</f>
        <v/>
      </c>
      <c r="I2" s="13">
        <f>IF($A2="","",equipment_master!$J2)</f>
        <v/>
      </c>
      <c r="J2" s="13">
        <f>IF($A2="","",equipment_master!$K2)</f>
        <v/>
      </c>
      <c r="K2" s="13">
        <f>IF($A2="","",equipment_master!$L2)</f>
        <v/>
      </c>
      <c r="L2" s="13">
        <f>IF($A2="","",equipment_master!$M2)</f>
        <v/>
      </c>
      <c r="M2" s="13">
        <f>IF($A2="","",equipment_master!$Q2)</f>
        <v/>
      </c>
      <c r="N2" s="13">
        <f>IF($A2="","",equipment_master!$R2)</f>
        <v/>
      </c>
      <c r="O2" s="13">
        <f>IF($A2="","",equipment_master!$W2)</f>
        <v/>
      </c>
      <c r="P2" s="13">
        <f>IF($A2="","",equipment_master!$V2)</f>
        <v/>
      </c>
    </row>
    <row r="3">
      <c r="A3" s="13">
        <f>IF(equipment_master!$U3=FALSE,"",equipment_master!$A3)</f>
        <v/>
      </c>
      <c r="B3" s="13">
        <f>IF($A3="","",equipment_master!$B3)</f>
        <v/>
      </c>
      <c r="C3" s="13">
        <f>IF($A3="","",equipment_master!$D3)</f>
        <v/>
      </c>
      <c r="D3" s="13">
        <f>IF($A3="","",equipment_master!$E3)</f>
        <v/>
      </c>
      <c r="E3" s="13">
        <f>IF($A3="","",equipment_master!$F3)</f>
        <v/>
      </c>
      <c r="F3" s="13">
        <f>IF($A3="","",equipment_master!$G3)</f>
        <v/>
      </c>
      <c r="G3" s="13">
        <f>IF($A3="","",equipment_master!$H3)</f>
        <v/>
      </c>
      <c r="H3" s="13">
        <f>IF($A3="","",equipment_master!$I3)</f>
        <v/>
      </c>
      <c r="I3" s="13">
        <f>IF($A3="","",equipment_master!$J3)</f>
        <v/>
      </c>
      <c r="J3" s="13">
        <f>IF($A3="","",equipment_master!$K3)</f>
        <v/>
      </c>
      <c r="K3" s="13">
        <f>IF($A3="","",equipment_master!$L3)</f>
        <v/>
      </c>
      <c r="L3" s="13">
        <f>IF($A3="","",equipment_master!$M3)</f>
        <v/>
      </c>
      <c r="M3" s="13">
        <f>IF($A3="","",equipment_master!$Q3)</f>
        <v/>
      </c>
      <c r="N3" s="13">
        <f>IF($A3="","",equipment_master!$R3)</f>
        <v/>
      </c>
      <c r="O3" s="13">
        <f>IF($A3="","",equipment_master!$W3)</f>
        <v/>
      </c>
      <c r="P3" s="13">
        <f>IF($A3="","",equipment_master!$V3)</f>
        <v/>
      </c>
    </row>
    <row r="4">
      <c r="A4" s="13">
        <f>IF(equipment_master!$U4=FALSE,"",equipment_master!$A4)</f>
        <v/>
      </c>
      <c r="B4" s="13">
        <f>IF($A4="","",equipment_master!$B4)</f>
        <v/>
      </c>
      <c r="C4" s="13">
        <f>IF($A4="","",equipment_master!$D4)</f>
        <v/>
      </c>
      <c r="D4" s="13">
        <f>IF($A4="","",equipment_master!$E4)</f>
        <v/>
      </c>
      <c r="E4" s="13">
        <f>IF($A4="","",equipment_master!$F4)</f>
        <v/>
      </c>
      <c r="F4" s="13">
        <f>IF($A4="","",equipment_master!$G4)</f>
        <v/>
      </c>
      <c r="G4" s="13">
        <f>IF($A4="","",equipment_master!$H4)</f>
        <v/>
      </c>
      <c r="H4" s="13">
        <f>IF($A4="","",equipment_master!$I4)</f>
        <v/>
      </c>
      <c r="I4" s="13">
        <f>IF($A4="","",equipment_master!$J4)</f>
        <v/>
      </c>
      <c r="J4" s="13">
        <f>IF($A4="","",equipment_master!$K4)</f>
        <v/>
      </c>
      <c r="K4" s="13">
        <f>IF($A4="","",equipment_master!$L4)</f>
        <v/>
      </c>
      <c r="L4" s="13">
        <f>IF($A4="","",equipment_master!$M4)</f>
        <v/>
      </c>
      <c r="M4" s="13">
        <f>IF($A4="","",equipment_master!$Q4)</f>
        <v/>
      </c>
      <c r="N4" s="13">
        <f>IF($A4="","",equipment_master!$R4)</f>
        <v/>
      </c>
      <c r="O4" s="13">
        <f>IF($A4="","",equipment_master!$W4)</f>
        <v/>
      </c>
      <c r="P4" s="13">
        <f>IF($A4="","",equipment_master!$V4)</f>
        <v/>
      </c>
    </row>
    <row r="5">
      <c r="A5" s="13">
        <f>IF(equipment_master!$U5=FALSE,"",equipment_master!$A5)</f>
        <v/>
      </c>
      <c r="B5" s="13">
        <f>IF($A5="","",equipment_master!$B5)</f>
        <v/>
      </c>
      <c r="C5" s="13">
        <f>IF($A5="","",equipment_master!$D5)</f>
        <v/>
      </c>
      <c r="D5" s="13">
        <f>IF($A5="","",equipment_master!$E5)</f>
        <v/>
      </c>
      <c r="E5" s="13">
        <f>IF($A5="","",equipment_master!$F5)</f>
        <v/>
      </c>
      <c r="F5" s="13">
        <f>IF($A5="","",equipment_master!$G5)</f>
        <v/>
      </c>
      <c r="G5" s="13">
        <f>IF($A5="","",equipment_master!$H5)</f>
        <v/>
      </c>
      <c r="H5" s="13">
        <f>IF($A5="","",equipment_master!$I5)</f>
        <v/>
      </c>
      <c r="I5" s="13">
        <f>IF($A5="","",equipment_master!$J5)</f>
        <v/>
      </c>
      <c r="J5" s="13">
        <f>IF($A5="","",equipment_master!$K5)</f>
        <v/>
      </c>
      <c r="K5" s="13">
        <f>IF($A5="","",equipment_master!$L5)</f>
        <v/>
      </c>
      <c r="L5" s="13">
        <f>IF($A5="","",equipment_master!$M5)</f>
        <v/>
      </c>
      <c r="M5" s="13">
        <f>IF($A5="","",equipment_master!$Q5)</f>
        <v/>
      </c>
      <c r="N5" s="13">
        <f>IF($A5="","",equipment_master!$R5)</f>
        <v/>
      </c>
      <c r="O5" s="13">
        <f>IF($A5="","",equipment_master!$W5)</f>
        <v/>
      </c>
      <c r="P5" s="13">
        <f>IF($A5="","",equipment_master!$V5)</f>
        <v/>
      </c>
    </row>
    <row r="6">
      <c r="A6" s="13">
        <f>IF(equipment_master!$U6=FALSE,"",equipment_master!$A6)</f>
        <v/>
      </c>
      <c r="B6" s="13">
        <f>IF($A6="","",equipment_master!$B6)</f>
        <v/>
      </c>
      <c r="C6" s="13">
        <f>IF($A6="","",equipment_master!$D6)</f>
        <v/>
      </c>
      <c r="D6" s="13">
        <f>IF($A6="","",equipment_master!$E6)</f>
        <v/>
      </c>
      <c r="E6" s="13">
        <f>IF($A6="","",equipment_master!$F6)</f>
        <v/>
      </c>
      <c r="F6" s="13">
        <f>IF($A6="","",equipment_master!$G6)</f>
        <v/>
      </c>
      <c r="G6" s="13">
        <f>IF($A6="","",equipment_master!$H6)</f>
        <v/>
      </c>
      <c r="H6" s="13">
        <f>IF($A6="","",equipment_master!$I6)</f>
        <v/>
      </c>
      <c r="I6" s="13">
        <f>IF($A6="","",equipment_master!$J6)</f>
        <v/>
      </c>
      <c r="J6" s="13">
        <f>IF($A6="","",equipment_master!$K6)</f>
        <v/>
      </c>
      <c r="K6" s="13">
        <f>IF($A6="","",equipment_master!$L6)</f>
        <v/>
      </c>
      <c r="L6" s="13">
        <f>IF($A6="","",equipment_master!$M6)</f>
        <v/>
      </c>
      <c r="M6" s="13">
        <f>IF($A6="","",equipment_master!$Q6)</f>
        <v/>
      </c>
      <c r="N6" s="13">
        <f>IF($A6="","",equipment_master!$R6)</f>
        <v/>
      </c>
      <c r="O6" s="13">
        <f>IF($A6="","",equipment_master!$W6)</f>
        <v/>
      </c>
      <c r="P6" s="13">
        <f>IF($A6="","",equipment_master!$V6)</f>
        <v/>
      </c>
    </row>
    <row r="7">
      <c r="A7" s="13">
        <f>IF(equipment_master!$U7=FALSE,"",equipment_master!$A7)</f>
        <v/>
      </c>
      <c r="B7" s="13">
        <f>IF($A7="","",equipment_master!$B7)</f>
        <v/>
      </c>
      <c r="C7" s="13">
        <f>IF($A7="","",equipment_master!$D7)</f>
        <v/>
      </c>
      <c r="D7" s="13">
        <f>IF($A7="","",equipment_master!$E7)</f>
        <v/>
      </c>
      <c r="E7" s="13">
        <f>IF($A7="","",equipment_master!$F7)</f>
        <v/>
      </c>
      <c r="F7" s="13">
        <f>IF($A7="","",equipment_master!$G7)</f>
        <v/>
      </c>
      <c r="G7" s="13">
        <f>IF($A7="","",equipment_master!$H7)</f>
        <v/>
      </c>
      <c r="H7" s="13">
        <f>IF($A7="","",equipment_master!$I7)</f>
        <v/>
      </c>
      <c r="I7" s="13">
        <f>IF($A7="","",equipment_master!$J7)</f>
        <v/>
      </c>
      <c r="J7" s="13">
        <f>IF($A7="","",equipment_master!$K7)</f>
        <v/>
      </c>
      <c r="K7" s="13">
        <f>IF($A7="","",equipment_master!$L7)</f>
        <v/>
      </c>
      <c r="L7" s="13">
        <f>IF($A7="","",equipment_master!$M7)</f>
        <v/>
      </c>
      <c r="M7" s="13">
        <f>IF($A7="","",equipment_master!$Q7)</f>
        <v/>
      </c>
      <c r="N7" s="13">
        <f>IF($A7="","",equipment_master!$R7)</f>
        <v/>
      </c>
      <c r="O7" s="13">
        <f>IF($A7="","",equipment_master!$W7)</f>
        <v/>
      </c>
      <c r="P7" s="13">
        <f>IF($A7="","",equipment_master!$V7)</f>
        <v/>
      </c>
    </row>
    <row r="8">
      <c r="A8" s="13">
        <f>IF(equipment_master!$U8=FALSE,"",equipment_master!$A8)</f>
        <v/>
      </c>
      <c r="B8" s="13">
        <f>IF($A8="","",equipment_master!$B8)</f>
        <v/>
      </c>
      <c r="C8" s="13">
        <f>IF($A8="","",equipment_master!$D8)</f>
        <v/>
      </c>
      <c r="D8" s="13">
        <f>IF($A8="","",equipment_master!$E8)</f>
        <v/>
      </c>
      <c r="E8" s="13">
        <f>IF($A8="","",equipment_master!$F8)</f>
        <v/>
      </c>
      <c r="F8" s="13">
        <f>IF($A8="","",equipment_master!$G8)</f>
        <v/>
      </c>
      <c r="G8" s="13">
        <f>IF($A8="","",equipment_master!$H8)</f>
        <v/>
      </c>
      <c r="H8" s="13">
        <f>IF($A8="","",equipment_master!$I8)</f>
        <v/>
      </c>
      <c r="I8" s="13">
        <f>IF($A8="","",equipment_master!$J8)</f>
        <v/>
      </c>
      <c r="J8" s="13">
        <f>IF($A8="","",equipment_master!$K8)</f>
        <v/>
      </c>
      <c r="K8" s="13">
        <f>IF($A8="","",equipment_master!$L8)</f>
        <v/>
      </c>
      <c r="L8" s="13">
        <f>IF($A8="","",equipment_master!$M8)</f>
        <v/>
      </c>
      <c r="M8" s="13">
        <f>IF($A8="","",equipment_master!$Q8)</f>
        <v/>
      </c>
      <c r="N8" s="13">
        <f>IF($A8="","",equipment_master!$R8)</f>
        <v/>
      </c>
      <c r="O8" s="13">
        <f>IF($A8="","",equipment_master!$W8)</f>
        <v/>
      </c>
      <c r="P8" s="13">
        <f>IF($A8="","",equipment_master!$V8)</f>
        <v/>
      </c>
    </row>
    <row r="9">
      <c r="A9" s="13">
        <f>IF(equipment_master!$U9=FALSE,"",equipment_master!$A9)</f>
        <v/>
      </c>
      <c r="B9" s="13">
        <f>IF($A9="","",equipment_master!$B9)</f>
        <v/>
      </c>
      <c r="C9" s="13">
        <f>IF($A9="","",equipment_master!$D9)</f>
        <v/>
      </c>
      <c r="D9" s="13">
        <f>IF($A9="","",equipment_master!$E9)</f>
        <v/>
      </c>
      <c r="E9" s="13">
        <f>IF($A9="","",equipment_master!$F9)</f>
        <v/>
      </c>
      <c r="F9" s="13">
        <f>IF($A9="","",equipment_master!$G9)</f>
        <v/>
      </c>
      <c r="G9" s="13">
        <f>IF($A9="","",equipment_master!$H9)</f>
        <v/>
      </c>
      <c r="H9" s="13">
        <f>IF($A9="","",equipment_master!$I9)</f>
        <v/>
      </c>
      <c r="I9" s="13">
        <f>IF($A9="","",equipment_master!$J9)</f>
        <v/>
      </c>
      <c r="J9" s="13">
        <f>IF($A9="","",equipment_master!$K9)</f>
        <v/>
      </c>
      <c r="K9" s="13">
        <f>IF($A9="","",equipment_master!$L9)</f>
        <v/>
      </c>
      <c r="L9" s="13">
        <f>IF($A9="","",equipment_master!$M9)</f>
        <v/>
      </c>
      <c r="M9" s="13">
        <f>IF($A9="","",equipment_master!$Q9)</f>
        <v/>
      </c>
      <c r="N9" s="13">
        <f>IF($A9="","",equipment_master!$R9)</f>
        <v/>
      </c>
      <c r="O9" s="13">
        <f>IF($A9="","",equipment_master!$W9)</f>
        <v/>
      </c>
      <c r="P9" s="13">
        <f>IF($A9="","",equipment_master!$V9)</f>
        <v/>
      </c>
    </row>
    <row r="10">
      <c r="A10" s="13">
        <f>IF(equipment_master!$U10=FALSE,"",equipment_master!$A10)</f>
        <v/>
      </c>
      <c r="B10" s="13">
        <f>IF($A10="","",equipment_master!$B10)</f>
        <v/>
      </c>
      <c r="C10" s="13">
        <f>IF($A10="","",equipment_master!$D10)</f>
        <v/>
      </c>
      <c r="D10" s="13">
        <f>IF($A10="","",equipment_master!$E10)</f>
        <v/>
      </c>
      <c r="E10" s="13">
        <f>IF($A10="","",equipment_master!$F10)</f>
        <v/>
      </c>
      <c r="F10" s="13">
        <f>IF($A10="","",equipment_master!$G10)</f>
        <v/>
      </c>
      <c r="G10" s="13">
        <f>IF($A10="","",equipment_master!$H10)</f>
        <v/>
      </c>
      <c r="H10" s="13">
        <f>IF($A10="","",equipment_master!$I10)</f>
        <v/>
      </c>
      <c r="I10" s="13">
        <f>IF($A10="","",equipment_master!$J10)</f>
        <v/>
      </c>
      <c r="J10" s="13">
        <f>IF($A10="","",equipment_master!$K10)</f>
        <v/>
      </c>
      <c r="K10" s="13">
        <f>IF($A10="","",equipment_master!$L10)</f>
        <v/>
      </c>
      <c r="L10" s="13">
        <f>IF($A10="","",equipment_master!$M10)</f>
        <v/>
      </c>
      <c r="M10" s="13">
        <f>IF($A10="","",equipment_master!$Q10)</f>
        <v/>
      </c>
      <c r="N10" s="13">
        <f>IF($A10="","",equipment_master!$R10)</f>
        <v/>
      </c>
      <c r="O10" s="13">
        <f>IF($A10="","",equipment_master!$W10)</f>
        <v/>
      </c>
      <c r="P10" s="13">
        <f>IF($A10="","",equipment_master!$V10)</f>
        <v/>
      </c>
    </row>
    <row r="11">
      <c r="A11" s="13">
        <f>IF(equipment_master!$U11=FALSE,"",equipment_master!$A11)</f>
        <v/>
      </c>
      <c r="B11" s="13">
        <f>IF($A11="","",equipment_master!$B11)</f>
        <v/>
      </c>
      <c r="C11" s="13">
        <f>IF($A11="","",equipment_master!$D11)</f>
        <v/>
      </c>
      <c r="D11" s="13">
        <f>IF($A11="","",equipment_master!$E11)</f>
        <v/>
      </c>
      <c r="E11" s="13">
        <f>IF($A11="","",equipment_master!$F11)</f>
        <v/>
      </c>
      <c r="F11" s="13">
        <f>IF($A11="","",equipment_master!$G11)</f>
        <v/>
      </c>
      <c r="G11" s="13">
        <f>IF($A11="","",equipment_master!$H11)</f>
        <v/>
      </c>
      <c r="H11" s="13">
        <f>IF($A11="","",equipment_master!$I11)</f>
        <v/>
      </c>
      <c r="I11" s="13">
        <f>IF($A11="","",equipment_master!$J11)</f>
        <v/>
      </c>
      <c r="J11" s="13">
        <f>IF($A11="","",equipment_master!$K11)</f>
        <v/>
      </c>
      <c r="K11" s="13">
        <f>IF($A11="","",equipment_master!$L11)</f>
        <v/>
      </c>
      <c r="L11" s="13">
        <f>IF($A11="","",equipment_master!$M11)</f>
        <v/>
      </c>
      <c r="M11" s="13">
        <f>IF($A11="","",equipment_master!$Q11)</f>
        <v/>
      </c>
      <c r="N11" s="13">
        <f>IF($A11="","",equipment_master!$R11)</f>
        <v/>
      </c>
      <c r="O11" s="13">
        <f>IF($A11="","",equipment_master!$W11)</f>
        <v/>
      </c>
      <c r="P11" s="13">
        <f>IF($A11="","",equipment_master!$V11)</f>
        <v/>
      </c>
    </row>
    <row r="12">
      <c r="A12" s="13">
        <f>IF(equipment_master!$U12=FALSE,"",equipment_master!$A12)</f>
        <v/>
      </c>
      <c r="B12" s="13">
        <f>IF($A12="","",equipment_master!$B12)</f>
        <v/>
      </c>
      <c r="C12" s="13">
        <f>IF($A12="","",equipment_master!$D12)</f>
        <v/>
      </c>
      <c r="D12" s="13">
        <f>IF($A12="","",equipment_master!$E12)</f>
        <v/>
      </c>
      <c r="E12" s="13">
        <f>IF($A12="","",equipment_master!$F12)</f>
        <v/>
      </c>
      <c r="F12" s="13">
        <f>IF($A12="","",equipment_master!$G12)</f>
        <v/>
      </c>
      <c r="G12" s="13">
        <f>IF($A12="","",equipment_master!$H12)</f>
        <v/>
      </c>
      <c r="H12" s="13">
        <f>IF($A12="","",equipment_master!$I12)</f>
        <v/>
      </c>
      <c r="I12" s="13">
        <f>IF($A12="","",equipment_master!$J12)</f>
        <v/>
      </c>
      <c r="J12" s="13">
        <f>IF($A12="","",equipment_master!$K12)</f>
        <v/>
      </c>
      <c r="K12" s="13">
        <f>IF($A12="","",equipment_master!$L12)</f>
        <v/>
      </c>
      <c r="L12" s="13">
        <f>IF($A12="","",equipment_master!$M12)</f>
        <v/>
      </c>
      <c r="M12" s="13">
        <f>IF($A12="","",equipment_master!$Q12)</f>
        <v/>
      </c>
      <c r="N12" s="13">
        <f>IF($A12="","",equipment_master!$R12)</f>
        <v/>
      </c>
      <c r="O12" s="13">
        <f>IF($A12="","",equipment_master!$W12)</f>
        <v/>
      </c>
      <c r="P12" s="13">
        <f>IF($A12="","",equipment_master!$V12)</f>
        <v/>
      </c>
    </row>
    <row r="13">
      <c r="A13" s="13">
        <f>IF(equipment_master!$U13=FALSE,"",equipment_master!$A13)</f>
        <v/>
      </c>
      <c r="B13" s="13">
        <f>IF($A13="","",equipment_master!$B13)</f>
        <v/>
      </c>
      <c r="C13" s="13">
        <f>IF($A13="","",equipment_master!$D13)</f>
        <v/>
      </c>
      <c r="D13" s="13">
        <f>IF($A13="","",equipment_master!$E13)</f>
        <v/>
      </c>
      <c r="E13" s="13">
        <f>IF($A13="","",equipment_master!$F13)</f>
        <v/>
      </c>
      <c r="F13" s="13">
        <f>IF($A13="","",equipment_master!$G13)</f>
        <v/>
      </c>
      <c r="G13" s="13">
        <f>IF($A13="","",equipment_master!$H13)</f>
        <v/>
      </c>
      <c r="H13" s="13">
        <f>IF($A13="","",equipment_master!$I13)</f>
        <v/>
      </c>
      <c r="I13" s="13">
        <f>IF($A13="","",equipment_master!$J13)</f>
        <v/>
      </c>
      <c r="J13" s="13">
        <f>IF($A13="","",equipment_master!$K13)</f>
        <v/>
      </c>
      <c r="K13" s="13">
        <f>IF($A13="","",equipment_master!$L13)</f>
        <v/>
      </c>
      <c r="L13" s="13">
        <f>IF($A13="","",equipment_master!$M13)</f>
        <v/>
      </c>
      <c r="M13" s="13">
        <f>IF($A13="","",equipment_master!$Q13)</f>
        <v/>
      </c>
      <c r="N13" s="13">
        <f>IF($A13="","",equipment_master!$R13)</f>
        <v/>
      </c>
      <c r="O13" s="13">
        <f>IF($A13="","",equipment_master!$W13)</f>
        <v/>
      </c>
      <c r="P13" s="13">
        <f>IF($A13="","",equipment_master!$V13)</f>
        <v/>
      </c>
    </row>
    <row r="14">
      <c r="A14" s="13">
        <f>IF(equipment_master!$U14=FALSE,"",equipment_master!$A14)</f>
        <v/>
      </c>
      <c r="B14" s="13">
        <f>IF($A14="","",equipment_master!$B14)</f>
        <v/>
      </c>
      <c r="C14" s="13">
        <f>IF($A14="","",equipment_master!$D14)</f>
        <v/>
      </c>
      <c r="D14" s="13">
        <f>IF($A14="","",equipment_master!$E14)</f>
        <v/>
      </c>
      <c r="E14" s="13">
        <f>IF($A14="","",equipment_master!$F14)</f>
        <v/>
      </c>
      <c r="F14" s="13">
        <f>IF($A14="","",equipment_master!$G14)</f>
        <v/>
      </c>
      <c r="G14" s="13">
        <f>IF($A14="","",equipment_master!$H14)</f>
        <v/>
      </c>
      <c r="H14" s="13">
        <f>IF($A14="","",equipment_master!$I14)</f>
        <v/>
      </c>
      <c r="I14" s="13">
        <f>IF($A14="","",equipment_master!$J14)</f>
        <v/>
      </c>
      <c r="J14" s="13">
        <f>IF($A14="","",equipment_master!$K14)</f>
        <v/>
      </c>
      <c r="K14" s="13">
        <f>IF($A14="","",equipment_master!$L14)</f>
        <v/>
      </c>
      <c r="L14" s="13">
        <f>IF($A14="","",equipment_master!$M14)</f>
        <v/>
      </c>
      <c r="M14" s="13">
        <f>IF($A14="","",equipment_master!$Q14)</f>
        <v/>
      </c>
      <c r="N14" s="13">
        <f>IF($A14="","",equipment_master!$R14)</f>
        <v/>
      </c>
      <c r="O14" s="13">
        <f>IF($A14="","",equipment_master!$W14)</f>
        <v/>
      </c>
      <c r="P14" s="13">
        <f>IF($A14="","",equipment_master!$V14)</f>
        <v/>
      </c>
    </row>
    <row r="15">
      <c r="A15" s="13">
        <f>IF(equipment_master!$U15=FALSE,"",equipment_master!$A15)</f>
        <v/>
      </c>
      <c r="B15" s="13">
        <f>IF($A15="","",equipment_master!$B15)</f>
        <v/>
      </c>
      <c r="C15" s="13">
        <f>IF($A15="","",equipment_master!$D15)</f>
        <v/>
      </c>
      <c r="D15" s="13">
        <f>IF($A15="","",equipment_master!$E15)</f>
        <v/>
      </c>
      <c r="E15" s="13">
        <f>IF($A15="","",equipment_master!$F15)</f>
        <v/>
      </c>
      <c r="F15" s="13">
        <f>IF($A15="","",equipment_master!$G15)</f>
        <v/>
      </c>
      <c r="G15" s="13">
        <f>IF($A15="","",equipment_master!$H15)</f>
        <v/>
      </c>
      <c r="H15" s="13">
        <f>IF($A15="","",equipment_master!$I15)</f>
        <v/>
      </c>
      <c r="I15" s="13">
        <f>IF($A15="","",equipment_master!$J15)</f>
        <v/>
      </c>
      <c r="J15" s="13">
        <f>IF($A15="","",equipment_master!$K15)</f>
        <v/>
      </c>
      <c r="K15" s="13">
        <f>IF($A15="","",equipment_master!$L15)</f>
        <v/>
      </c>
      <c r="L15" s="13">
        <f>IF($A15="","",equipment_master!$M15)</f>
        <v/>
      </c>
      <c r="M15" s="13">
        <f>IF($A15="","",equipment_master!$Q15)</f>
        <v/>
      </c>
      <c r="N15" s="13">
        <f>IF($A15="","",equipment_master!$R15)</f>
        <v/>
      </c>
      <c r="O15" s="13">
        <f>IF($A15="","",equipment_master!$W15)</f>
        <v/>
      </c>
      <c r="P15" s="13">
        <f>IF($A15="","",equipment_master!$V15)</f>
        <v/>
      </c>
    </row>
    <row r="16">
      <c r="A16" s="13">
        <f>IF(equipment_master!$U16=FALSE,"",equipment_master!$A16)</f>
        <v/>
      </c>
      <c r="B16" s="13">
        <f>IF($A16="","",equipment_master!$B16)</f>
        <v/>
      </c>
      <c r="C16" s="13">
        <f>IF($A16="","",equipment_master!$D16)</f>
        <v/>
      </c>
      <c r="D16" s="13">
        <f>IF($A16="","",equipment_master!$E16)</f>
        <v/>
      </c>
      <c r="E16" s="13">
        <f>IF($A16="","",equipment_master!$F16)</f>
        <v/>
      </c>
      <c r="F16" s="13">
        <f>IF($A16="","",equipment_master!$G16)</f>
        <v/>
      </c>
      <c r="G16" s="13">
        <f>IF($A16="","",equipment_master!$H16)</f>
        <v/>
      </c>
      <c r="H16" s="13">
        <f>IF($A16="","",equipment_master!$I16)</f>
        <v/>
      </c>
      <c r="I16" s="13">
        <f>IF($A16="","",equipment_master!$J16)</f>
        <v/>
      </c>
      <c r="J16" s="13">
        <f>IF($A16="","",equipment_master!$K16)</f>
        <v/>
      </c>
      <c r="K16" s="13">
        <f>IF($A16="","",equipment_master!$L16)</f>
        <v/>
      </c>
      <c r="L16" s="13">
        <f>IF($A16="","",equipment_master!$M16)</f>
        <v/>
      </c>
      <c r="M16" s="13">
        <f>IF($A16="","",equipment_master!$Q16)</f>
        <v/>
      </c>
      <c r="N16" s="13">
        <f>IF($A16="","",equipment_master!$R16)</f>
        <v/>
      </c>
      <c r="O16" s="13">
        <f>IF($A16="","",equipment_master!$W16)</f>
        <v/>
      </c>
      <c r="P16" s="13">
        <f>IF($A16="","",equipment_master!$V16)</f>
        <v/>
      </c>
    </row>
    <row r="17">
      <c r="A17" s="13">
        <f>IF(equipment_master!$U17=FALSE,"",equipment_master!$A17)</f>
        <v/>
      </c>
      <c r="B17" s="13">
        <f>IF($A17="","",equipment_master!$B17)</f>
        <v/>
      </c>
      <c r="C17" s="13">
        <f>IF($A17="","",equipment_master!$D17)</f>
        <v/>
      </c>
      <c r="D17" s="13">
        <f>IF($A17="","",equipment_master!$E17)</f>
        <v/>
      </c>
      <c r="E17" s="13">
        <f>IF($A17="","",equipment_master!$F17)</f>
        <v/>
      </c>
      <c r="F17" s="13">
        <f>IF($A17="","",equipment_master!$G17)</f>
        <v/>
      </c>
      <c r="G17" s="13">
        <f>IF($A17="","",equipment_master!$H17)</f>
        <v/>
      </c>
      <c r="H17" s="13">
        <f>IF($A17="","",equipment_master!$I17)</f>
        <v/>
      </c>
      <c r="I17" s="13">
        <f>IF($A17="","",equipment_master!$J17)</f>
        <v/>
      </c>
      <c r="J17" s="13">
        <f>IF($A17="","",equipment_master!$K17)</f>
        <v/>
      </c>
      <c r="K17" s="13">
        <f>IF($A17="","",equipment_master!$L17)</f>
        <v/>
      </c>
      <c r="L17" s="13">
        <f>IF($A17="","",equipment_master!$M17)</f>
        <v/>
      </c>
      <c r="M17" s="13">
        <f>IF($A17="","",equipment_master!$Q17)</f>
        <v/>
      </c>
      <c r="N17" s="13">
        <f>IF($A17="","",equipment_master!$R17)</f>
        <v/>
      </c>
      <c r="O17" s="13">
        <f>IF($A17="","",equipment_master!$W17)</f>
        <v/>
      </c>
      <c r="P17" s="13">
        <f>IF($A17="","",equipment_master!$V17)</f>
        <v/>
      </c>
    </row>
    <row r="18">
      <c r="A18" s="13">
        <f>IF(equipment_master!$U18=FALSE,"",equipment_master!$A18)</f>
        <v/>
      </c>
      <c r="B18" s="13">
        <f>IF($A18="","",equipment_master!$B18)</f>
        <v/>
      </c>
      <c r="C18" s="13">
        <f>IF($A18="","",equipment_master!$D18)</f>
        <v/>
      </c>
      <c r="D18" s="13">
        <f>IF($A18="","",equipment_master!$E18)</f>
        <v/>
      </c>
      <c r="E18" s="13">
        <f>IF($A18="","",equipment_master!$F18)</f>
        <v/>
      </c>
      <c r="F18" s="13">
        <f>IF($A18="","",equipment_master!$G18)</f>
        <v/>
      </c>
      <c r="G18" s="13">
        <f>IF($A18="","",equipment_master!$H18)</f>
        <v/>
      </c>
      <c r="H18" s="13">
        <f>IF($A18="","",equipment_master!$I18)</f>
        <v/>
      </c>
      <c r="I18" s="13">
        <f>IF($A18="","",equipment_master!$J18)</f>
        <v/>
      </c>
      <c r="J18" s="13">
        <f>IF($A18="","",equipment_master!$K18)</f>
        <v/>
      </c>
      <c r="K18" s="13">
        <f>IF($A18="","",equipment_master!$L18)</f>
        <v/>
      </c>
      <c r="L18" s="13">
        <f>IF($A18="","",equipment_master!$M18)</f>
        <v/>
      </c>
      <c r="M18" s="13">
        <f>IF($A18="","",equipment_master!$Q18)</f>
        <v/>
      </c>
      <c r="N18" s="13">
        <f>IF($A18="","",equipment_master!$R18)</f>
        <v/>
      </c>
      <c r="O18" s="13">
        <f>IF($A18="","",equipment_master!$W18)</f>
        <v/>
      </c>
      <c r="P18" s="13">
        <f>IF($A18="","",equipment_master!$V18)</f>
        <v/>
      </c>
    </row>
    <row r="19" ht="29" customHeight="1" s="17">
      <c r="A19" s="13">
        <f>IF(equipment_master!$U19=FALSE,"",equipment_master!$A19)</f>
        <v/>
      </c>
      <c r="B19" s="13">
        <f>IF($A19="","",equipment_master!$B19)</f>
        <v/>
      </c>
      <c r="C19" s="13">
        <f>IF($A19="","",equipment_master!$D19)</f>
        <v/>
      </c>
      <c r="D19" s="13">
        <f>IF($A19="","",equipment_master!$E19)</f>
        <v/>
      </c>
      <c r="E19" s="13">
        <f>IF($A19="","",equipment_master!$F19)</f>
        <v/>
      </c>
      <c r="F19" s="13">
        <f>IF($A19="","",equipment_master!$G19)</f>
        <v/>
      </c>
      <c r="G19" s="13">
        <f>IF($A19="","",equipment_master!$H19)</f>
        <v/>
      </c>
      <c r="H19" s="13">
        <f>IF($A19="","",equipment_master!$I19)</f>
        <v/>
      </c>
      <c r="I19" s="13">
        <f>IF($A19="","",equipment_master!$J19)</f>
        <v/>
      </c>
      <c r="J19" s="13">
        <f>IF($A19="","",equipment_master!$K19)</f>
        <v/>
      </c>
      <c r="K19" s="13">
        <f>IF($A19="","",equipment_master!$L19)</f>
        <v/>
      </c>
      <c r="L19" s="13">
        <f>IF($A19="","",equipment_master!$M19)</f>
        <v/>
      </c>
      <c r="M19" s="13">
        <f>IF($A19="","",equipment_master!$Q19)</f>
        <v/>
      </c>
      <c r="N19" s="13">
        <f>IF($A19="","",equipment_master!$R19)</f>
        <v/>
      </c>
      <c r="O19" s="13">
        <f>IF($A19="","",equipment_master!$W19)</f>
        <v/>
      </c>
      <c r="P19" s="13">
        <f>IF($A19="","",equipment_master!$V19)</f>
        <v/>
      </c>
    </row>
    <row r="20" ht="29" customHeight="1" s="17">
      <c r="A20" s="13">
        <f>IF(equipment_master!$U20=FALSE,"",equipment_master!$A20)</f>
        <v/>
      </c>
      <c r="B20" s="13">
        <f>IF($A20="","",equipment_master!$B20)</f>
        <v/>
      </c>
      <c r="C20" s="13">
        <f>IF($A20="","",equipment_master!$D20)</f>
        <v/>
      </c>
      <c r="D20" s="13">
        <f>IF($A20="","",equipment_master!$E20)</f>
        <v/>
      </c>
      <c r="E20" s="13">
        <f>IF($A20="","",equipment_master!$F20)</f>
        <v/>
      </c>
      <c r="F20" s="13">
        <f>IF($A20="","",equipment_master!$G20)</f>
        <v/>
      </c>
      <c r="G20" s="13">
        <f>IF($A20="","",equipment_master!$H20)</f>
        <v/>
      </c>
      <c r="H20" s="13">
        <f>IF($A20="","",equipment_master!$I20)</f>
        <v/>
      </c>
      <c r="I20" s="13">
        <f>IF($A20="","",equipment_master!$J20)</f>
        <v/>
      </c>
      <c r="J20" s="13">
        <f>IF($A20="","",equipment_master!$K20)</f>
        <v/>
      </c>
      <c r="K20" s="13">
        <f>IF($A20="","",equipment_master!$L20)</f>
        <v/>
      </c>
      <c r="L20" s="13">
        <f>IF($A20="","",equipment_master!$M20)</f>
        <v/>
      </c>
      <c r="M20" s="13">
        <f>IF($A20="","",equipment_master!$Q20)</f>
        <v/>
      </c>
      <c r="N20" s="13">
        <f>IF($A20="","",equipment_master!$R20)</f>
        <v/>
      </c>
      <c r="O20" s="13">
        <f>IF($A20="","",equipment_master!$W20)</f>
        <v/>
      </c>
      <c r="P20" s="13">
        <f>IF($A20="","",equipment_master!$V20)</f>
        <v/>
      </c>
    </row>
    <row r="21" ht="29" customHeight="1" s="17">
      <c r="A21" s="13">
        <f>IF(equipment_master!$U21=FALSE,"",equipment_master!$A21)</f>
        <v/>
      </c>
      <c r="B21" s="13">
        <f>IF($A21="","",equipment_master!$B21)</f>
        <v/>
      </c>
      <c r="C21" s="13">
        <f>IF($A21="","",equipment_master!$D21)</f>
        <v/>
      </c>
      <c r="D21" s="13">
        <f>IF($A21="","",equipment_master!$E21)</f>
        <v/>
      </c>
      <c r="E21" s="13">
        <f>IF($A21="","",equipment_master!$F21)</f>
        <v/>
      </c>
      <c r="F21" s="13">
        <f>IF($A21="","",equipment_master!$G21)</f>
        <v/>
      </c>
      <c r="G21" s="13">
        <f>IF($A21="","",equipment_master!$H21)</f>
        <v/>
      </c>
      <c r="H21" s="13">
        <f>IF($A21="","",equipment_master!$I21)</f>
        <v/>
      </c>
      <c r="I21" s="13">
        <f>IF($A21="","",equipment_master!$J21)</f>
        <v/>
      </c>
      <c r="J21" s="13">
        <f>IF($A21="","",equipment_master!$K21)</f>
        <v/>
      </c>
      <c r="K21" s="13">
        <f>IF($A21="","",equipment_master!$L21)</f>
        <v/>
      </c>
      <c r="L21" s="13">
        <f>IF($A21="","",equipment_master!$M21)</f>
        <v/>
      </c>
      <c r="M21" s="13">
        <f>IF($A21="","",equipment_master!$Q21)</f>
        <v/>
      </c>
      <c r="N21" s="13">
        <f>IF($A21="","",equipment_master!$R21)</f>
        <v/>
      </c>
      <c r="O21" s="13">
        <f>IF($A21="","",equipment_master!$W21)</f>
        <v/>
      </c>
      <c r="P21" s="13">
        <f>IF($A21="","",equipment_master!$V21)</f>
        <v/>
      </c>
    </row>
    <row r="22" ht="29" customHeight="1" s="17">
      <c r="A22" s="13">
        <f>IF(equipment_master!$U22=FALSE,"",equipment_master!$A22)</f>
        <v/>
      </c>
      <c r="B22" s="13">
        <f>IF($A22="","",equipment_master!$B22)</f>
        <v/>
      </c>
      <c r="C22" s="13">
        <f>IF($A22="","",equipment_master!$D22)</f>
        <v/>
      </c>
      <c r="D22" s="13">
        <f>IF($A22="","",equipment_master!$E22)</f>
        <v/>
      </c>
      <c r="E22" s="13">
        <f>IF($A22="","",equipment_master!$F22)</f>
        <v/>
      </c>
      <c r="F22" s="13">
        <f>IF($A22="","",equipment_master!$G22)</f>
        <v/>
      </c>
      <c r="G22" s="13">
        <f>IF($A22="","",equipment_master!$H22)</f>
        <v/>
      </c>
      <c r="H22" s="13">
        <f>IF($A22="","",equipment_master!$I22)</f>
        <v/>
      </c>
      <c r="I22" s="13">
        <f>IF($A22="","",equipment_master!$J22)</f>
        <v/>
      </c>
      <c r="J22" s="13">
        <f>IF($A22="","",equipment_master!$K22)</f>
        <v/>
      </c>
      <c r="K22" s="13">
        <f>IF($A22="","",equipment_master!$L22)</f>
        <v/>
      </c>
      <c r="L22" s="13">
        <f>IF($A22="","",equipment_master!$M22)</f>
        <v/>
      </c>
      <c r="M22" s="13">
        <f>IF($A22="","",equipment_master!$Q22)</f>
        <v/>
      </c>
      <c r="N22" s="13">
        <f>IF($A22="","",equipment_master!$R22)</f>
        <v/>
      </c>
      <c r="O22" s="13">
        <f>IF($A22="","",equipment_master!$W22)</f>
        <v/>
      </c>
      <c r="P22" s="13">
        <f>IF($A22="","",equipment_master!$V22)</f>
        <v/>
      </c>
    </row>
    <row r="23">
      <c r="A23" s="13">
        <f>IF(equipment_master!$U23=FALSE,"",equipment_master!$A23)</f>
        <v/>
      </c>
      <c r="B23" s="13">
        <f>IF($A23="","",equipment_master!$B23)</f>
        <v/>
      </c>
      <c r="C23" s="13">
        <f>IF($A23="","",equipment_master!$D23)</f>
        <v/>
      </c>
      <c r="D23" s="13">
        <f>IF($A23="","",equipment_master!$E23)</f>
        <v/>
      </c>
      <c r="E23" s="13">
        <f>IF($A23="","",equipment_master!$F23)</f>
        <v/>
      </c>
      <c r="F23" s="13">
        <f>IF($A23="","",equipment_master!$G23)</f>
        <v/>
      </c>
      <c r="G23" s="13">
        <f>IF($A23="","",equipment_master!$H23)</f>
        <v/>
      </c>
      <c r="H23" s="13">
        <f>IF($A23="","",equipment_master!$I23)</f>
        <v/>
      </c>
      <c r="I23" s="13">
        <f>IF($A23="","",equipment_master!$J23)</f>
        <v/>
      </c>
      <c r="J23" s="13">
        <f>IF($A23="","",equipment_master!$K23)</f>
        <v/>
      </c>
      <c r="K23" s="13">
        <f>IF($A23="","",equipment_master!$L23)</f>
        <v/>
      </c>
      <c r="L23" s="13">
        <f>IF($A23="","",equipment_master!$M23)</f>
        <v/>
      </c>
      <c r="M23" s="13">
        <f>IF($A23="","",equipment_master!$Q23)</f>
        <v/>
      </c>
      <c r="N23" s="13">
        <f>IF($A23="","",equipment_master!$R23)</f>
        <v/>
      </c>
      <c r="O23" s="13">
        <f>IF($A23="","",equipment_master!$W23)</f>
        <v/>
      </c>
      <c r="P23" s="13">
        <f>IF($A23="","",equipment_master!$V23)</f>
        <v/>
      </c>
    </row>
    <row r="24">
      <c r="A24" s="13">
        <f>IF(equipment_master!$U24=FALSE,"",equipment_master!$A24)</f>
        <v/>
      </c>
      <c r="B24" s="13">
        <f>IF($A24="","",equipment_master!$B24)</f>
        <v/>
      </c>
      <c r="C24" s="13">
        <f>IF($A24="","",equipment_master!$D24)</f>
        <v/>
      </c>
      <c r="D24" s="13">
        <f>IF($A24="","",equipment_master!$E24)</f>
        <v/>
      </c>
      <c r="E24" s="13">
        <f>IF($A24="","",equipment_master!$F24)</f>
        <v/>
      </c>
      <c r="F24" s="13">
        <f>IF($A24="","",equipment_master!$G24)</f>
        <v/>
      </c>
      <c r="G24" s="13">
        <f>IF($A24="","",equipment_master!$H24)</f>
        <v/>
      </c>
      <c r="H24" s="13">
        <f>IF($A24="","",equipment_master!$I24)</f>
        <v/>
      </c>
      <c r="I24" s="13">
        <f>IF($A24="","",equipment_master!$J24)</f>
        <v/>
      </c>
      <c r="J24" s="13">
        <f>IF($A24="","",equipment_master!$K24)</f>
        <v/>
      </c>
      <c r="K24" s="13">
        <f>IF($A24="","",equipment_master!$L24)</f>
        <v/>
      </c>
      <c r="L24" s="13">
        <f>IF($A24="","",equipment_master!$M24)</f>
        <v/>
      </c>
      <c r="M24" s="13">
        <f>IF($A24="","",equipment_master!$Q24)</f>
        <v/>
      </c>
      <c r="N24" s="13">
        <f>IF($A24="","",equipment_master!$R24)</f>
        <v/>
      </c>
      <c r="O24" s="13">
        <f>IF($A24="","",equipment_master!$W24)</f>
        <v/>
      </c>
      <c r="P24" s="13">
        <f>IF($A24="","",equipment_master!$V24)</f>
        <v/>
      </c>
    </row>
    <row r="25">
      <c r="A25" s="13">
        <f>IF(equipment_master!$U25=FALSE,"",equipment_master!$A25)</f>
        <v/>
      </c>
      <c r="B25" s="13">
        <f>IF($A25="","",equipment_master!$B25)</f>
        <v/>
      </c>
      <c r="C25" s="13">
        <f>IF($A25="","",equipment_master!$D25)</f>
        <v/>
      </c>
      <c r="D25" s="13">
        <f>IF($A25="","",equipment_master!$E25)</f>
        <v/>
      </c>
      <c r="E25" s="13">
        <f>IF($A25="","",equipment_master!$F25)</f>
        <v/>
      </c>
      <c r="F25" s="13">
        <f>IF($A25="","",equipment_master!$G25)</f>
        <v/>
      </c>
      <c r="G25" s="13">
        <f>IF($A25="","",equipment_master!$H25)</f>
        <v/>
      </c>
      <c r="H25" s="13">
        <f>IF($A25="","",equipment_master!$I25)</f>
        <v/>
      </c>
      <c r="I25" s="13">
        <f>IF($A25="","",equipment_master!$J25)</f>
        <v/>
      </c>
      <c r="J25" s="13">
        <f>IF($A25="","",equipment_master!$K25)</f>
        <v/>
      </c>
      <c r="K25" s="13">
        <f>IF($A25="","",equipment_master!$L25)</f>
        <v/>
      </c>
      <c r="L25" s="13">
        <f>IF($A25="","",equipment_master!$M25)</f>
        <v/>
      </c>
      <c r="M25" s="13">
        <f>IF($A25="","",equipment_master!$Q25)</f>
        <v/>
      </c>
      <c r="N25" s="13">
        <f>IF($A25="","",equipment_master!$R25)</f>
        <v/>
      </c>
      <c r="O25" s="13">
        <f>IF($A25="","",equipment_master!$W25)</f>
        <v/>
      </c>
      <c r="P25" s="13">
        <f>IF($A25="","",equipment_master!$V25)</f>
        <v/>
      </c>
    </row>
    <row r="26">
      <c r="A26" s="13">
        <f>IF(equipment_master!$U26=FALSE,"",equipment_master!$A26)</f>
        <v/>
      </c>
      <c r="B26" s="13">
        <f>IF($A26="","",equipment_master!$B26)</f>
        <v/>
      </c>
      <c r="C26" s="13">
        <f>IF($A26="","",equipment_master!$D26)</f>
        <v/>
      </c>
      <c r="D26" s="13">
        <f>IF($A26="","",equipment_master!$E26)</f>
        <v/>
      </c>
      <c r="E26" s="13">
        <f>IF($A26="","",equipment_master!$F26)</f>
        <v/>
      </c>
      <c r="F26" s="13">
        <f>IF($A26="","",equipment_master!$G26)</f>
        <v/>
      </c>
      <c r="G26" s="13">
        <f>IF($A26="","",equipment_master!$H26)</f>
        <v/>
      </c>
      <c r="H26" s="13">
        <f>IF($A26="","",equipment_master!$I26)</f>
        <v/>
      </c>
      <c r="I26" s="13">
        <f>IF($A26="","",equipment_master!$J26)</f>
        <v/>
      </c>
      <c r="J26" s="13">
        <f>IF($A26="","",equipment_master!$K26)</f>
        <v/>
      </c>
      <c r="K26" s="13">
        <f>IF($A26="","",equipment_master!$L26)</f>
        <v/>
      </c>
      <c r="L26" s="13">
        <f>IF($A26="","",equipment_master!$M26)</f>
        <v/>
      </c>
      <c r="M26" s="13">
        <f>IF($A26="","",equipment_master!$Q26)</f>
        <v/>
      </c>
      <c r="N26" s="13">
        <f>IF($A26="","",equipment_master!$R26)</f>
        <v/>
      </c>
      <c r="O26" s="13">
        <f>IF($A26="","",equipment_master!$W26)</f>
        <v/>
      </c>
      <c r="P26" s="13">
        <f>IF($A26="","",equipment_master!$V26)</f>
        <v/>
      </c>
    </row>
    <row r="27">
      <c r="A27" s="13">
        <f>IF(equipment_master!$U27=FALSE,"",equipment_master!$A27)</f>
        <v/>
      </c>
      <c r="B27" s="13">
        <f>IF($A27="","",equipment_master!$B27)</f>
        <v/>
      </c>
      <c r="C27" s="13">
        <f>IF($A27="","",equipment_master!$D27)</f>
        <v/>
      </c>
      <c r="D27" s="13">
        <f>IF($A27="","",equipment_master!$E27)</f>
        <v/>
      </c>
      <c r="E27" s="13">
        <f>IF($A27="","",equipment_master!$F27)</f>
        <v/>
      </c>
      <c r="F27" s="13">
        <f>IF($A27="","",equipment_master!$G27)</f>
        <v/>
      </c>
      <c r="G27" s="13">
        <f>IF($A27="","",equipment_master!$H27)</f>
        <v/>
      </c>
      <c r="H27" s="13">
        <f>IF($A27="","",equipment_master!$I27)</f>
        <v/>
      </c>
      <c r="I27" s="13">
        <f>IF($A27="","",equipment_master!$J27)</f>
        <v/>
      </c>
      <c r="J27" s="13">
        <f>IF($A27="","",equipment_master!$K27)</f>
        <v/>
      </c>
      <c r="K27" s="13">
        <f>IF($A27="","",equipment_master!$L27)</f>
        <v/>
      </c>
      <c r="L27" s="13">
        <f>IF($A27="","",equipment_master!$M27)</f>
        <v/>
      </c>
      <c r="M27" s="13">
        <f>IF($A27="","",equipment_master!$Q27)</f>
        <v/>
      </c>
      <c r="N27" s="13">
        <f>IF($A27="","",equipment_master!$R27)</f>
        <v/>
      </c>
      <c r="O27" s="13">
        <f>IF($A27="","",equipment_master!$W27)</f>
        <v/>
      </c>
      <c r="P27" s="13">
        <f>IF($A27="","",equipment_master!$V27)</f>
        <v/>
      </c>
    </row>
    <row r="28">
      <c r="A28" s="13">
        <f>IF(equipment_master!$U28=FALSE,"",equipment_master!$A28)</f>
        <v/>
      </c>
      <c r="B28" s="13">
        <f>IF($A28="","",equipment_master!$B28)</f>
        <v/>
      </c>
      <c r="C28" s="13">
        <f>IF($A28="","",equipment_master!$D28)</f>
        <v/>
      </c>
      <c r="D28" s="13">
        <f>IF($A28="","",equipment_master!$E28)</f>
        <v/>
      </c>
      <c r="E28" s="13">
        <f>IF($A28="","",equipment_master!$F28)</f>
        <v/>
      </c>
      <c r="F28" s="13">
        <f>IF($A28="","",equipment_master!$G28)</f>
        <v/>
      </c>
      <c r="G28" s="13">
        <f>IF($A28="","",equipment_master!$H28)</f>
        <v/>
      </c>
      <c r="H28" s="13">
        <f>IF($A28="","",equipment_master!$I28)</f>
        <v/>
      </c>
      <c r="I28" s="13">
        <f>IF($A28="","",equipment_master!$J28)</f>
        <v/>
      </c>
      <c r="J28" s="13">
        <f>IF($A28="","",equipment_master!$K28)</f>
        <v/>
      </c>
      <c r="K28" s="13">
        <f>IF($A28="","",equipment_master!$L28)</f>
        <v/>
      </c>
      <c r="L28" s="13">
        <f>IF($A28="","",equipment_master!$M28)</f>
        <v/>
      </c>
      <c r="M28" s="13">
        <f>IF($A28="","",equipment_master!$Q28)</f>
        <v/>
      </c>
      <c r="N28" s="13">
        <f>IF($A28="","",equipment_master!$R28)</f>
        <v/>
      </c>
      <c r="O28" s="13">
        <f>IF($A28="","",equipment_master!$W28)</f>
        <v/>
      </c>
      <c r="P28" s="13">
        <f>IF($A28="","",equipment_master!$V28)</f>
        <v/>
      </c>
    </row>
    <row r="29">
      <c r="A29" s="13">
        <f>IF(equipment_master!$U29=FALSE,"",equipment_master!$A29)</f>
        <v/>
      </c>
      <c r="B29" s="13">
        <f>IF($A29="","",equipment_master!$B29)</f>
        <v/>
      </c>
      <c r="C29" s="13">
        <f>IF($A29="","",equipment_master!$D29)</f>
        <v/>
      </c>
      <c r="D29" s="13">
        <f>IF($A29="","",equipment_master!$E29)</f>
        <v/>
      </c>
      <c r="E29" s="13">
        <f>IF($A29="","",equipment_master!$F29)</f>
        <v/>
      </c>
      <c r="F29" s="13">
        <f>IF($A29="","",equipment_master!$G29)</f>
        <v/>
      </c>
      <c r="G29" s="13">
        <f>IF($A29="","",equipment_master!$H29)</f>
        <v/>
      </c>
      <c r="H29" s="13">
        <f>IF($A29="","",equipment_master!$I29)</f>
        <v/>
      </c>
      <c r="I29" s="13">
        <f>IF($A29="","",equipment_master!$J29)</f>
        <v/>
      </c>
      <c r="J29" s="13">
        <f>IF($A29="","",equipment_master!$K29)</f>
        <v/>
      </c>
      <c r="K29" s="13">
        <f>IF($A29="","",equipment_master!$L29)</f>
        <v/>
      </c>
      <c r="L29" s="13">
        <f>IF($A29="","",equipment_master!$M29)</f>
        <v/>
      </c>
      <c r="M29" s="13">
        <f>IF($A29="","",equipment_master!$Q29)</f>
        <v/>
      </c>
      <c r="N29" s="13">
        <f>IF($A29="","",equipment_master!$R29)</f>
        <v/>
      </c>
      <c r="O29" s="13">
        <f>IF($A29="","",equipment_master!$W29)</f>
        <v/>
      </c>
      <c r="P29" s="13">
        <f>IF($A29="","",equipment_master!$V29)</f>
        <v/>
      </c>
    </row>
    <row r="30">
      <c r="A30" s="13">
        <f>IF(equipment_master!$U30=FALSE,"",equipment_master!$A30)</f>
        <v/>
      </c>
      <c r="B30" s="13">
        <f>IF($A30="","",equipment_master!$B30)</f>
        <v/>
      </c>
      <c r="C30" s="13">
        <f>IF($A30="","",equipment_master!$D30)</f>
        <v/>
      </c>
      <c r="D30" s="13">
        <f>IF($A30="","",equipment_master!$E30)</f>
        <v/>
      </c>
      <c r="E30" s="13">
        <f>IF($A30="","",equipment_master!$F30)</f>
        <v/>
      </c>
      <c r="F30" s="13">
        <f>IF($A30="","",equipment_master!$G30)</f>
        <v/>
      </c>
      <c r="G30" s="13">
        <f>IF($A30="","",equipment_master!$H30)</f>
        <v/>
      </c>
      <c r="H30" s="13">
        <f>IF($A30="","",equipment_master!$I30)</f>
        <v/>
      </c>
      <c r="I30" s="13">
        <f>IF($A30="","",equipment_master!$J30)</f>
        <v/>
      </c>
      <c r="J30" s="13">
        <f>IF($A30="","",equipment_master!$K30)</f>
        <v/>
      </c>
      <c r="K30" s="13">
        <f>IF($A30="","",equipment_master!$L30)</f>
        <v/>
      </c>
      <c r="L30" s="13">
        <f>IF($A30="","",equipment_master!$M30)</f>
        <v/>
      </c>
      <c r="M30" s="13">
        <f>IF($A30="","",equipment_master!$Q30)</f>
        <v/>
      </c>
      <c r="N30" s="13">
        <f>IF($A30="","",equipment_master!$R30)</f>
        <v/>
      </c>
      <c r="O30" s="13">
        <f>IF($A30="","",equipment_master!$W30)</f>
        <v/>
      </c>
      <c r="P30" s="13">
        <f>IF($A30="","",equipment_master!$V30)</f>
        <v/>
      </c>
    </row>
    <row r="31">
      <c r="A31" s="13">
        <f>IF(equipment_master!$U31=FALSE,"",equipment_master!$A31)</f>
        <v/>
      </c>
      <c r="B31" s="13">
        <f>IF($A31="","",equipment_master!$B31)</f>
        <v/>
      </c>
      <c r="C31" s="13">
        <f>IF($A31="","",equipment_master!$D31)</f>
        <v/>
      </c>
      <c r="D31" s="13">
        <f>IF($A31="","",equipment_master!$E31)</f>
        <v/>
      </c>
      <c r="E31" s="13">
        <f>IF($A31="","",equipment_master!$F31)</f>
        <v/>
      </c>
      <c r="F31" s="13">
        <f>IF($A31="","",equipment_master!$G31)</f>
        <v/>
      </c>
      <c r="G31" s="13">
        <f>IF($A31="","",equipment_master!$H31)</f>
        <v/>
      </c>
      <c r="H31" s="13">
        <f>IF($A31="","",equipment_master!$I31)</f>
        <v/>
      </c>
      <c r="I31" s="13">
        <f>IF($A31="","",equipment_master!$J31)</f>
        <v/>
      </c>
      <c r="J31" s="13">
        <f>IF($A31="","",equipment_master!$K31)</f>
        <v/>
      </c>
      <c r="K31" s="13">
        <f>IF($A31="","",equipment_master!$L31)</f>
        <v/>
      </c>
      <c r="L31" s="13">
        <f>IF($A31="","",equipment_master!$M31)</f>
        <v/>
      </c>
      <c r="M31" s="13">
        <f>IF($A31="","",equipment_master!$Q31)</f>
        <v/>
      </c>
      <c r="N31" s="13">
        <f>IF($A31="","",equipment_master!$R31)</f>
        <v/>
      </c>
      <c r="O31" s="13">
        <f>IF($A31="","",equipment_master!$W31)</f>
        <v/>
      </c>
      <c r="P31" s="13">
        <f>IF($A31="","",equipment_master!$V31)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4.5"/>
  <cols>
    <col width="28" customWidth="1" style="17" min="1" max="1"/>
    <col width="50" customWidth="1" style="17" min="2" max="2"/>
    <col width="18" customWidth="1" style="17" min="3" max="3"/>
  </cols>
  <sheetData>
    <row r="1">
      <c r="A1" s="14" t="inlineStr">
        <is>
          <t>欄位</t>
        </is>
      </c>
      <c r="B1" s="14" t="inlineStr">
        <is>
          <t>說明</t>
        </is>
      </c>
      <c r="C1" s="14" t="inlineStr">
        <is>
          <t>遊戲端建議型別</t>
        </is>
      </c>
    </row>
    <row r="2">
      <c r="A2" s="15" t="inlineStr">
        <is>
          <t>id</t>
        </is>
      </c>
      <c r="B2" s="13" t="inlineStr">
        <is>
          <t>唯一識別碼</t>
        </is>
      </c>
      <c r="C2" s="13" t="inlineStr">
        <is>
          <t>string</t>
        </is>
      </c>
    </row>
    <row r="3">
      <c r="A3" s="15" t="inlineStr">
        <is>
          <t>name</t>
        </is>
      </c>
      <c r="B3" s="13" t="inlineStr">
        <is>
          <t>顯示名稱</t>
        </is>
      </c>
      <c r="C3" s="13" t="inlineStr">
        <is>
          <t>string</t>
        </is>
      </c>
    </row>
    <row r="4">
      <c r="A4" s="15" t="inlineStr">
        <is>
          <t>type</t>
        </is>
      </c>
      <c r="B4" s="13" t="inlineStr">
        <is>
          <t>裝備類型 hat/cloth/fullset/tool</t>
        </is>
      </c>
      <c r="C4" s="13" t="inlineStr">
        <is>
          <t>string</t>
        </is>
      </c>
    </row>
    <row r="5">
      <c r="A5" s="15" t="inlineStr">
        <is>
          <t>source</t>
        </is>
      </c>
      <c r="B5" s="13" t="inlineStr">
        <is>
          <t>來源玩法或來源池</t>
        </is>
      </c>
      <c r="C5" s="13" t="inlineStr">
        <is>
          <t>string</t>
        </is>
      </c>
    </row>
    <row r="6">
      <c r="A6" s="15" t="inlineStr">
        <is>
          <t>rarity</t>
        </is>
      </c>
      <c r="B6" s="13" t="inlineStr">
        <is>
          <t>稀有度</t>
        </is>
      </c>
      <c r="C6" s="13" t="inlineStr">
        <is>
          <t>string</t>
        </is>
      </c>
    </row>
    <row r="7">
      <c r="A7" s="15" t="inlineStr">
        <is>
          <t>texture</t>
        </is>
      </c>
      <c r="B7" s="13" t="inlineStr">
        <is>
          <t>角色貼圖 key</t>
        </is>
      </c>
      <c r="C7" s="13" t="inlineStr">
        <is>
          <t>string</t>
        </is>
      </c>
    </row>
    <row r="8">
      <c r="A8" s="15" t="inlineStr">
        <is>
          <t>icon</t>
        </is>
      </c>
      <c r="B8" s="13" t="inlineStr">
        <is>
          <t>UI 圖示 key</t>
        </is>
      </c>
      <c r="C8" s="13" t="inlineStr">
        <is>
          <t>string</t>
        </is>
      </c>
    </row>
    <row r="9">
      <c r="A9" s="15" t="inlineStr">
        <is>
          <t>placeable</t>
        </is>
      </c>
      <c r="B9" s="13" t="inlineStr">
        <is>
          <t>是否可放置</t>
        </is>
      </c>
      <c r="C9" s="13" t="inlineStr">
        <is>
          <t>bool</t>
        </is>
      </c>
    </row>
    <row r="10">
      <c r="A10" s="15" t="inlineStr">
        <is>
          <t>effect1_type / effect2_type</t>
        </is>
      </c>
      <c r="B10" s="13" t="inlineStr">
        <is>
          <t>效果類型</t>
        </is>
      </c>
      <c r="C10" s="13" t="inlineStr">
        <is>
          <t>string</t>
        </is>
      </c>
    </row>
    <row r="11">
      <c r="A11" s="15" t="inlineStr">
        <is>
          <t>effect1_value / effect2_value</t>
        </is>
      </c>
      <c r="B11" s="13" t="inlineStr">
        <is>
          <t>效果數值</t>
        </is>
      </c>
      <c r="C11" s="13" t="inlineStr">
        <is>
          <t>number</t>
        </is>
      </c>
    </row>
    <row r="12">
      <c r="A12" s="15" t="inlineStr">
        <is>
          <t>unlockType</t>
        </is>
      </c>
      <c r="B12" s="13" t="inlineStr">
        <is>
          <t>解鎖方式</t>
        </is>
      </c>
      <c r="C12" s="13" t="inlineStr">
        <is>
          <t>string</t>
        </is>
      </c>
    </row>
    <row r="13">
      <c r="A13" s="15" t="inlineStr">
        <is>
          <t>gameKey</t>
        </is>
      </c>
      <c r="B13" s="13" t="inlineStr">
        <is>
          <t>給遊戲排序或分組時用的輔助 key</t>
        </is>
      </c>
      <c r="C13" s="13" t="inlineStr">
        <is>
          <t>string</t>
        </is>
      </c>
    </row>
    <row r="14">
      <c r="A14" s="15" t="inlineStr">
        <is>
          <t>sortOrder</t>
        </is>
      </c>
      <c r="B14" s="13" t="inlineStr">
        <is>
          <t>顯示/掉落排序</t>
        </is>
      </c>
      <c r="C14" s="13" t="inlineStr">
        <is>
          <t>number</t>
        </is>
      </c>
    </row>
    <row r="15">
      <c r="A15" s="15" t="inlineStr">
        <is>
          <t>json_preview</t>
        </is>
      </c>
      <c r="B15" s="13" t="inlineStr">
        <is>
          <t>每列 JSON 預覽，可給工程當參考</t>
        </is>
      </c>
      <c r="C15" s="1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2026-03-16T00:09:49Z</dcterms:created>
  <dcterms:modified xmlns:dcterms="http://purl.org/dc/terms/" xmlns:xsi="http://www.w3.org/2001/XMLSchema-instance" xsi:type="dcterms:W3CDTF">2026-03-18T08:46:27Z</dcterms:modified>
  <cp:lastModifiedBy>仁豪 古</cp:lastModifiedBy>
</cp:coreProperties>
</file>