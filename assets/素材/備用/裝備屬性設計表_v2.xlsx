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765ecce047ae9f32/桌面/HaoX/森林益智樂園/assets/"/>
    </mc:Choice>
  </mc:AlternateContent>
  <xr:revisionPtr revIDLastSave="10" documentId="11_58936DB7FEAE3593484701DB2DEA7962A5B47B44" xr6:coauthVersionLast="47" xr6:coauthVersionMax="47" xr10:uidLastSave="{82A50496-6ECE-4B9B-8019-3298F64EF880}"/>
  <bookViews>
    <workbookView xWindow="-110" yWindow="-110" windowWidth="19420" windowHeight="10300" activeTab="4" xr2:uid="{00000000-000D-0000-FFFF-FFFF00000000}"/>
  </bookViews>
  <sheets>
    <sheet name="README" sheetId="1" r:id="rId1"/>
    <sheet name="lookups" sheetId="2" r:id="rId2"/>
    <sheet name="equipment_master" sheetId="3" r:id="rId3"/>
    <sheet name="export_ready" sheetId="4" r:id="rId4"/>
    <sheet name="工作表1" sheetId="6" r:id="rId5"/>
    <sheet name="field_map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4" l="1"/>
  <c r="P31" i="4" s="1"/>
  <c r="A30" i="4"/>
  <c r="P30" i="4" s="1"/>
  <c r="A29" i="4"/>
  <c r="P29" i="4" s="1"/>
  <c r="A28" i="4"/>
  <c r="P28" i="4" s="1"/>
  <c r="A27" i="4"/>
  <c r="P27" i="4" s="1"/>
  <c r="A26" i="4"/>
  <c r="P26" i="4" s="1"/>
  <c r="A25" i="4"/>
  <c r="P25" i="4" s="1"/>
  <c r="A24" i="4"/>
  <c r="P24" i="4" s="1"/>
  <c r="A23" i="4"/>
  <c r="P23" i="4" s="1"/>
  <c r="A22" i="4"/>
  <c r="P22" i="4" s="1"/>
  <c r="A21" i="4"/>
  <c r="P21" i="4" s="1"/>
  <c r="A20" i="4"/>
  <c r="P20" i="4" s="1"/>
  <c r="A19" i="4"/>
  <c r="P19" i="4" s="1"/>
  <c r="A18" i="4"/>
  <c r="P18" i="4" s="1"/>
  <c r="A17" i="4"/>
  <c r="P17" i="4" s="1"/>
  <c r="A16" i="4"/>
  <c r="P16" i="4" s="1"/>
  <c r="A15" i="4"/>
  <c r="P15" i="4" s="1"/>
  <c r="A14" i="4"/>
  <c r="P14" i="4" s="1"/>
  <c r="A13" i="4"/>
  <c r="P13" i="4" s="1"/>
  <c r="A12" i="4"/>
  <c r="P12" i="4" s="1"/>
  <c r="A11" i="4"/>
  <c r="P11" i="4" s="1"/>
  <c r="A10" i="4"/>
  <c r="P10" i="4" s="1"/>
  <c r="A9" i="4"/>
  <c r="P9" i="4" s="1"/>
  <c r="A8" i="4"/>
  <c r="P8" i="4" s="1"/>
  <c r="A7" i="4"/>
  <c r="P7" i="4" s="1"/>
  <c r="A6" i="4"/>
  <c r="P6" i="4" s="1"/>
  <c r="A5" i="4"/>
  <c r="P5" i="4" s="1"/>
  <c r="A4" i="4"/>
  <c r="P4" i="4" s="1"/>
  <c r="A3" i="4"/>
  <c r="P3" i="4" s="1"/>
  <c r="A2" i="4"/>
  <c r="P2" i="4" s="1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</calcChain>
</file>

<file path=xl/sharedStrings.xml><?xml version="1.0" encoding="utf-8"?>
<sst xmlns="http://schemas.openxmlformats.org/spreadsheetml/2006/main" count="898" uniqueCount="515">
  <si>
    <t>森林益智樂園｜裝備資料匯出工作簿</t>
  </si>
  <si>
    <t>用途</t>
  </si>
  <si>
    <t>這份表已升級成可直接整理為遊戲資料的版本。編輯 equipment_master 後，可從 export_ready 複製資料，或讀取 json_preview 欄位匯出。</t>
  </si>
  <si>
    <t>你主要要改</t>
  </si>
  <si>
    <t>equipment_master 工作表中的藍底輸入欄位</t>
  </si>
  <si>
    <t>下拉選單</t>
  </si>
  <si>
    <t>source / rarity / type / unlockType / effectType / status 都已設定資料驗證</t>
  </si>
  <si>
    <t>直接匯出</t>
  </si>
  <si>
    <t>export_ready 為遊戲端建議使用欄位；json_preview 為每列 JSON 預覽</t>
  </si>
  <si>
    <t>建議流程</t>
  </si>
  <si>
    <t>先新增/修改裝備 -&gt; 勾選 exportEnabled -&gt; 依 sortOrder 排序 -&gt; 匯出 export_ready 或讀取 json_preview</t>
  </si>
  <si>
    <t>備註</t>
  </si>
  <si>
    <t>若要讓程式匯入，建議只讀取 export_ready 中 id 不為空的列</t>
  </si>
  <si>
    <t>type</t>
  </si>
  <si>
    <t>source</t>
  </si>
  <si>
    <t>rarity</t>
  </si>
  <si>
    <t>effectType</t>
  </si>
  <si>
    <t>unlockType</t>
  </si>
  <si>
    <t>status</t>
  </si>
  <si>
    <t>bool</t>
  </si>
  <si>
    <t>hat</t>
  </si>
  <si>
    <t>starter</t>
  </si>
  <si>
    <t>common</t>
  </si>
  <si>
    <t>none</t>
  </si>
  <si>
    <t>規劃中</t>
  </si>
  <si>
    <t>TRUE</t>
  </si>
  <si>
    <t>cloth</t>
  </si>
  <si>
    <t>treasure</t>
  </si>
  <si>
    <t>rare</t>
  </si>
  <si>
    <t>rewardRate</t>
  </si>
  <si>
    <t>drop</t>
  </si>
  <si>
    <t>測試中</t>
  </si>
  <si>
    <t>FALSE</t>
  </si>
  <si>
    <t>fullset</t>
  </si>
  <si>
    <t>firefly</t>
  </si>
  <si>
    <t>epic</t>
  </si>
  <si>
    <t>dropRate</t>
  </si>
  <si>
    <t>shop</t>
  </si>
  <si>
    <t>已實作</t>
  </si>
  <si>
    <t>tool</t>
  </si>
  <si>
    <t>campfire</t>
  </si>
  <si>
    <t>legend</t>
  </si>
  <si>
    <t>extraPlayCount</t>
  </si>
  <si>
    <t>achievement</t>
  </si>
  <si>
    <t>停用</t>
  </si>
  <si>
    <t>constellation</t>
  </si>
  <si>
    <t>revealHint</t>
  </si>
  <si>
    <t>reputation</t>
  </si>
  <si>
    <t>animals</t>
  </si>
  <si>
    <t>rareDropRate</t>
  </si>
  <si>
    <t>secret</t>
  </si>
  <si>
    <t>global</t>
  </si>
  <si>
    <t>timeBonus</t>
  </si>
  <si>
    <t>event</t>
  </si>
  <si>
    <t>extraMistake</t>
  </si>
  <si>
    <t>chestRate</t>
  </si>
  <si>
    <t>memoryHelp</t>
  </si>
  <si>
    <t>slowDown</t>
  </si>
  <si>
    <t>freeEntry</t>
  </si>
  <si>
    <t>freeStageEntry</t>
  </si>
  <si>
    <t>id</t>
  </si>
  <si>
    <t>name</t>
  </si>
  <si>
    <t>category</t>
  </si>
  <si>
    <t>texture</t>
  </si>
  <si>
    <t>icon</t>
  </si>
  <si>
    <t>placeable</t>
  </si>
  <si>
    <t>effectValue</t>
  </si>
  <si>
    <t>effectType2</t>
  </si>
  <si>
    <t>effectValue2</t>
  </si>
  <si>
    <t>desc</t>
  </si>
  <si>
    <t>notes</t>
  </si>
  <si>
    <t>exportEnabled</t>
  </si>
  <si>
    <t>sortOrder</t>
  </si>
  <si>
    <t>gameKey</t>
  </si>
  <si>
    <t>json_preview</t>
  </si>
  <si>
    <t>item_hat_daily_01</t>
  </si>
  <si>
    <t>小髮夾</t>
  </si>
  <si>
    <t>equipment</t>
  </si>
  <si>
    <t>簡單可愛的小髮夾</t>
  </si>
  <si>
    <t>starter_001</t>
  </si>
  <si>
    <t>item_cloth_daily_01</t>
  </si>
  <si>
    <t>休閒裝</t>
  </si>
  <si>
    <t>舒適的日常衣服</t>
  </si>
  <si>
    <t>starter_002</t>
  </si>
  <si>
    <t>小皇冠</t>
  </si>
  <si>
    <t>hat_tiara</t>
  </si>
  <si>
    <t>icon_hat_tiara</t>
  </si>
  <si>
    <t>一頂閃亮的小皇冠</t>
  </si>
  <si>
    <t>global_003</t>
  </si>
  <si>
    <t>小仙子洋裝</t>
  </si>
  <si>
    <t>cloth_fairy</t>
  </si>
  <si>
    <t>icon_cloth_fairy</t>
  </si>
  <si>
    <t>輕盈可愛的小仙子洋裝</t>
  </si>
  <si>
    <t>firefly_004</t>
  </si>
  <si>
    <t>item_fullset_pink_home_01</t>
  </si>
  <si>
    <t>粉色居家服</t>
  </si>
  <si>
    <t>fullset_pink_home_01</t>
  </si>
  <si>
    <t>icon_fullset_pink_home_01</t>
  </si>
  <si>
    <t>舒服又可愛的粉色居家服</t>
  </si>
  <si>
    <t>starter_005</t>
  </si>
  <si>
    <t>item_hat_explore_01</t>
  </si>
  <si>
    <t>探險遮陽帽</t>
  </si>
  <si>
    <t>hat_explorer</t>
  </si>
  <si>
    <t>icon_hat_explorer</t>
  </si>
  <si>
    <t>探險時能多一次嘗試機會</t>
  </si>
  <si>
    <t>treasure_006</t>
  </si>
  <si>
    <t>item_cloth_explore_01</t>
  </si>
  <si>
    <t>多口袋背心</t>
  </si>
  <si>
    <t>cloth_explorer</t>
  </si>
  <si>
    <t>icon_cloth_explorer</t>
  </si>
  <si>
    <t>身上掛滿各種探險口袋</t>
  </si>
  <si>
    <t>treasure_007</t>
  </si>
  <si>
    <t>item_fullset_explore_01</t>
  </si>
  <si>
    <t>野外小偵查</t>
  </si>
  <si>
    <t>fullset_explorer</t>
  </si>
  <si>
    <t>icon_fullset_explorer</t>
  </si>
  <si>
    <t>一件充滿探險味道的衣服</t>
  </si>
  <si>
    <t>treasure_008</t>
  </si>
  <si>
    <t>item_tool_explore_01</t>
  </si>
  <si>
    <t>高能放大鏡</t>
  </si>
  <si>
    <t>tool_magnifier</t>
  </si>
  <si>
    <t>icon_magnifier</t>
  </si>
  <si>
    <t>讓寶藏的細節變得更明顯</t>
  </si>
  <si>
    <t>treasure_009</t>
  </si>
  <si>
    <t>item_hat_firefly_01</t>
  </si>
  <si>
    <t>螢光小帽</t>
  </si>
  <si>
    <t>hat_firefly</t>
  </si>
  <si>
    <t>icon_hat_firefly</t>
  </si>
  <si>
    <t>夜晚的螢光會停留得更久</t>
  </si>
  <si>
    <t>firefly_010</t>
  </si>
  <si>
    <t>item_cloth_firefly_01</t>
  </si>
  <si>
    <t>發光小背心</t>
  </si>
  <si>
    <t>cloth_firefly</t>
  </si>
  <si>
    <t>icon_cloth_firefly</t>
  </si>
  <si>
    <t>微微發光的小背心</t>
  </si>
  <si>
    <t>firefly_011</t>
  </si>
  <si>
    <t>item_fullset_firefly_01</t>
  </si>
  <si>
    <t>森林精靈服</t>
  </si>
  <si>
    <t>fullset_firefly</t>
  </si>
  <si>
    <t>icon_fullset_firefly</t>
  </si>
  <si>
    <t>帶有森林魔法的精靈服</t>
  </si>
  <si>
    <t>firefly_012</t>
  </si>
  <si>
    <t>item_tool_firefly_01</t>
  </si>
  <si>
    <t>許願玻璃瓶</t>
  </si>
  <si>
    <t>tool_firefly_jar</t>
  </si>
  <si>
    <t>icon_firefly_jar</t>
  </si>
  <si>
    <t>裝滿螢火蟲的玻璃瓶</t>
  </si>
  <si>
    <t>firefly_013</t>
  </si>
  <si>
    <t>item_hat_campfire_01</t>
  </si>
  <si>
    <t>火焰廚師帽</t>
  </si>
  <si>
    <t>hat_cook</t>
  </si>
  <si>
    <t>icon_hat_cook</t>
  </si>
  <si>
    <t>營火料理專用廚師帽</t>
  </si>
  <si>
    <t>campfire_014</t>
  </si>
  <si>
    <t>item_cloth_campfire_01</t>
  </si>
  <si>
    <t>美味圍裙</t>
  </si>
  <si>
    <t>cloth_cook</t>
  </si>
  <si>
    <t>icon_cloth_cook</t>
  </si>
  <si>
    <t>料理時的必備圍裙</t>
  </si>
  <si>
    <t>campfire_015</t>
  </si>
  <si>
    <t>item_fullset_campfire_01</t>
  </si>
  <si>
    <t>三星大廚袍</t>
  </si>
  <si>
    <t>fullset_cook</t>
  </si>
  <si>
    <t>icon_fullset_cook</t>
  </si>
  <si>
    <t>穿上就像營火料理大師</t>
  </si>
  <si>
    <t>campfire_016</t>
  </si>
  <si>
    <t>item_tool_campfire_01</t>
  </si>
  <si>
    <t>黃金烤肉夾</t>
  </si>
  <si>
    <t>tool_tongs</t>
  </si>
  <si>
    <t>icon_tongs</t>
  </si>
  <si>
    <t>傳說中不會烤焦食物的夾子</t>
  </si>
  <si>
    <t>campfire_017</t>
  </si>
  <si>
    <t>item_hat_constellation_01</t>
  </si>
  <si>
    <t>星辰魔法帽</t>
  </si>
  <si>
    <t>hat_constellation</t>
  </si>
  <si>
    <t>icon_hat_constellation</t>
  </si>
  <si>
    <t>讓星星連線變得更清楚</t>
  </si>
  <si>
    <t>constellation_018</t>
  </si>
  <si>
    <t>item_cloth_constellation_01</t>
  </si>
  <si>
    <t>cloth_constellation</t>
  </si>
  <si>
    <t>icon_cloth_constellation</t>
  </si>
  <si>
    <t>像銀河巡航員一樣帥氣</t>
  </si>
  <si>
    <t>constellation_019</t>
  </si>
  <si>
    <t>item_fullset_constellation_01</t>
  </si>
  <si>
    <t>fullset_constellation</t>
  </si>
  <si>
    <t>icon_fullset_constellation</t>
  </si>
  <si>
    <t>穿上後像在夜空裡旅行</t>
  </si>
  <si>
    <t>constellation_020</t>
  </si>
  <si>
    <t>item_tool_constellation_01</t>
  </si>
  <si>
    <t>星光連線筆</t>
  </si>
  <si>
    <t>tool_star_pen</t>
  </si>
  <si>
    <t>icon_star_pen</t>
  </si>
  <si>
    <t>幫助你畫出完整的星座軌跡</t>
  </si>
  <si>
    <t>constellation_021</t>
  </si>
  <si>
    <t>item_hat_animals_01</t>
  </si>
  <si>
    <t>hat_animals</t>
  </si>
  <si>
    <t>icon_hat_animals</t>
  </si>
  <si>
    <t>可愛的動物耳朵帽</t>
  </si>
  <si>
    <t>animals_022</t>
  </si>
  <si>
    <t>item_cloth_animals_01</t>
  </si>
  <si>
    <t>排隊小隊長服</t>
  </si>
  <si>
    <t>cloth_animals</t>
  </si>
  <si>
    <t>icon_cloth_animals</t>
  </si>
  <si>
    <t>讓動物排隊節奏慢一些</t>
  </si>
  <si>
    <t>animals_023</t>
  </si>
  <si>
    <t>item_fullset_animals_01</t>
  </si>
  <si>
    <t>毛茸茸熊裝</t>
  </si>
  <si>
    <t>fullset_animals</t>
  </si>
  <si>
    <t>icon_fullset_animals</t>
  </si>
  <si>
    <t>毛茸茸的熊熊套裝</t>
  </si>
  <si>
    <t>animals_024</t>
  </si>
  <si>
    <t>item_tool_animals_01</t>
  </si>
  <si>
    <t>森林指揮棒</t>
  </si>
  <si>
    <t>tool_baton</t>
  </si>
  <si>
    <t>icon_baton</t>
  </si>
  <si>
    <t>揮一揮，動物們就排好隊</t>
  </si>
  <si>
    <t>animals_025</t>
  </si>
  <si>
    <t>item_hat_global_01</t>
  </si>
  <si>
    <t>紅色運動帽</t>
  </si>
  <si>
    <t>hat_red_sport</t>
  </si>
  <si>
    <t>icon_hat_red_sport</t>
  </si>
  <si>
    <t>運動風的紅色帽子</t>
  </si>
  <si>
    <t>global_026</t>
  </si>
  <si>
    <t>item_cloth_global_01</t>
  </si>
  <si>
    <t>紅色運動服</t>
  </si>
  <si>
    <t>cloth_red_sport</t>
  </si>
  <si>
    <t>icon_cloth_red_sport</t>
  </si>
  <si>
    <t>大人帶幼兒園的運動服</t>
  </si>
  <si>
    <t>global_027</t>
  </si>
  <si>
    <t>item_fullset_global_01</t>
  </si>
  <si>
    <t>五迷服</t>
  </si>
  <si>
    <t>fullset_fan</t>
  </si>
  <si>
    <t>icon_fullset_fan</t>
  </si>
  <si>
    <t>五月大的小粉絲</t>
  </si>
  <si>
    <t>global_028</t>
  </si>
  <si>
    <t>item_tool_global_01</t>
  </si>
  <si>
    <t>幸運吊飾</t>
  </si>
  <si>
    <t>tool_charm</t>
  </si>
  <si>
    <t>icon_charm</t>
  </si>
  <si>
    <t>掛在背包上會帶來好運</t>
  </si>
  <si>
    <t>global_029</t>
  </si>
  <si>
    <t>item_fullset_secret_guard</t>
  </si>
  <si>
    <t>母上的守護</t>
  </si>
  <si>
    <t>fullset_guard</t>
  </si>
  <si>
    <t>icon_guard</t>
  </si>
  <si>
    <t>感受到了母親大人的愛意</t>
  </si>
  <si>
    <t>彩蛋裝備：5秒內依序點擊愛心→水晶→聲望</t>
  </si>
  <si>
    <t>secret_030</t>
  </si>
  <si>
    <t>effect1_type</t>
  </si>
  <si>
    <t>effect1_value</t>
  </si>
  <si>
    <t>effect2_type</t>
  </si>
  <si>
    <t>effect2_value</t>
  </si>
  <si>
    <t>欄位</t>
  </si>
  <si>
    <t>說明</t>
  </si>
  <si>
    <t>遊戲端建議型別</t>
  </si>
  <si>
    <t>唯一識別碼</t>
  </si>
  <si>
    <t>string</t>
  </si>
  <si>
    <t>顯示名稱</t>
  </si>
  <si>
    <t>裝備類型 hat/cloth/fullset/tool</t>
  </si>
  <si>
    <t>來源玩法或來源池</t>
  </si>
  <si>
    <t>稀有度</t>
  </si>
  <si>
    <t>角色貼圖 key</t>
  </si>
  <si>
    <t>UI 圖示 key</t>
  </si>
  <si>
    <t>是否可放置</t>
  </si>
  <si>
    <t>effect1_type / effect2_type</t>
  </si>
  <si>
    <t>效果類型</t>
  </si>
  <si>
    <t>effect1_value / effect2_value</t>
  </si>
  <si>
    <t>效果數值</t>
  </si>
  <si>
    <t>number</t>
  </si>
  <si>
    <t>解鎖方式</t>
  </si>
  <si>
    <t>給遊戲排序或分組時用的輔助 key</t>
  </si>
  <si>
    <t>顯示/掉落排序</t>
  </si>
  <si>
    <t>每列 JSON 預覽，可給工程當參考</t>
  </si>
  <si>
    <t>銀河特工衣</t>
    <phoneticPr fontId="6" type="noConversion"/>
  </si>
  <si>
    <t>小小太空人</t>
    <phoneticPr fontId="6" type="noConversion"/>
  </si>
  <si>
    <t>動物耳朵帽</t>
    <phoneticPr fontId="6" type="noConversion"/>
  </si>
  <si>
    <t>item_cloth_daily_01</t>
    <phoneticPr fontId="6" type="noConversion"/>
  </si>
  <si>
    <t>item_cloth_common_fairy</t>
    <phoneticPr fontId="6" type="noConversion"/>
  </si>
  <si>
    <t>item_hat_common_tiara</t>
    <phoneticPr fontId="6" type="noConversion"/>
  </si>
  <si>
    <r>
      <t>《最終 ITEM_DB 稀有度 / source 命名規則表》</t>
    </r>
    <r>
      <rPr>
        <sz val="11"/>
        <color theme="1"/>
        <rFont val="新細明體"/>
        <family val="2"/>
        <scheme val="minor"/>
      </rPr>
      <t>，之後你整個《森林益智樂園 / BushExplore》都可以照這套走。</t>
    </r>
  </si>
  <si>
    <t>這版目標是：</t>
  </si>
  <si>
    <t>好懂</t>
  </si>
  <si>
    <t>不容易打架</t>
  </si>
  <si>
    <t>方便你之後擴充</t>
  </si>
  <si>
    <t>符合你現在的寶箱 / 彩蛋 / 關卡限定設計</t>
  </si>
  <si>
    <t>ITEM_DB 最終規則：先分成 3 個層次看</t>
  </si>
  <si>
    <r>
      <t xml:space="preserve">1. </t>
    </r>
    <r>
      <rPr>
        <b/>
        <sz val="10"/>
        <color theme="1"/>
        <rFont val="Arial Unicode MS"/>
        <family val="2"/>
      </rPr>
      <t>id</t>
    </r>
  </si>
  <si>
    <t>物品唯一編號</t>
  </si>
  <si>
    <r>
      <t xml:space="preserve">2. </t>
    </r>
    <r>
      <rPr>
        <b/>
        <sz val="10"/>
        <color theme="1"/>
        <rFont val="Arial Unicode MS"/>
        <family val="2"/>
      </rPr>
      <t>rarity</t>
    </r>
  </si>
  <si>
    <t>物品稀有度 / 顯示等級</t>
  </si>
  <si>
    <r>
      <t xml:space="preserve">3. </t>
    </r>
    <r>
      <rPr>
        <b/>
        <sz val="10"/>
        <color theme="1"/>
        <rFont val="Arial Unicode MS"/>
        <family val="2"/>
      </rPr>
      <t>source</t>
    </r>
  </si>
  <si>
    <t>取得來源 / 是否進抽獎池</t>
  </si>
  <si>
    <t>這三個不要混在一起。</t>
  </si>
  <si>
    <r>
      <t>一、</t>
    </r>
    <r>
      <rPr>
        <b/>
        <sz val="10"/>
        <color theme="1"/>
        <rFont val="Arial Unicode MS"/>
        <family val="2"/>
      </rPr>
      <t>id</t>
    </r>
    <r>
      <rPr>
        <b/>
        <sz val="24"/>
        <color theme="1"/>
        <rFont val="新細明體"/>
        <family val="1"/>
        <charset val="136"/>
        <scheme val="minor"/>
      </rPr>
      <t xml:space="preserve"> 命名規則</t>
    </r>
  </si>
  <si>
    <t>你之前已經定案這個方向，我幫你正式整理：</t>
  </si>
  <si>
    <t>item_[slot]_[name]_[source_or_group]</t>
  </si>
  <si>
    <t>例如：</t>
  </si>
  <si>
    <t>item_hat_leaf_bush</t>
  </si>
  <si>
    <t>item_cloth_fairydress_global</t>
  </si>
  <si>
    <t>item_fullset_motherslove_secret</t>
  </si>
  <si>
    <t>item_hat_littlecrown_special</t>
  </si>
  <si>
    <r>
      <t>slot</t>
    </r>
    <r>
      <rPr>
        <b/>
        <sz val="18"/>
        <color theme="1"/>
        <rFont val="新細明體"/>
        <family val="1"/>
        <charset val="136"/>
        <scheme val="minor"/>
      </rPr>
      <t xml:space="preserve"> 建議值</t>
    </r>
  </si>
  <si>
    <t>之後如果你有別的欄位也可以加：</t>
  </si>
  <si>
    <t>back</t>
  </si>
  <si>
    <t>hand</t>
  </si>
  <si>
    <t>face</t>
  </si>
  <si>
    <t>但目前先不要擴太多。</t>
  </si>
  <si>
    <r>
      <t>name</t>
    </r>
    <r>
      <rPr>
        <b/>
        <sz val="18"/>
        <color theme="1"/>
        <rFont val="新細明體"/>
        <family val="1"/>
        <charset val="136"/>
        <scheme val="minor"/>
      </rPr>
      <t xml:space="preserve"> 命名建議</t>
    </r>
  </si>
  <si>
    <t>用簡短英文小寫，不要太長：</t>
  </si>
  <si>
    <t>leaf</t>
  </si>
  <si>
    <t>flower</t>
  </si>
  <si>
    <t>littlecrown</t>
  </si>
  <si>
    <t>motherslove</t>
  </si>
  <si>
    <t>moonrobe</t>
  </si>
  <si>
    <t>rainbowcap</t>
  </si>
  <si>
    <r>
      <t xml:space="preserve">最後一段 </t>
    </r>
    <r>
      <rPr>
        <b/>
        <sz val="10"/>
        <color theme="1"/>
        <rFont val="Arial Unicode MS"/>
        <family val="2"/>
      </rPr>
      <t>source_or_group</t>
    </r>
  </si>
  <si>
    <r>
      <t>這裡不是稀有度，是</t>
    </r>
    <r>
      <rPr>
        <b/>
        <sz val="11"/>
        <color theme="1"/>
        <rFont val="新細明體"/>
        <family val="1"/>
        <charset val="136"/>
        <scheme val="minor"/>
      </rPr>
      <t>來源或池別</t>
    </r>
    <r>
      <rPr>
        <sz val="11"/>
        <color theme="1"/>
        <rFont val="新細明體"/>
        <family val="2"/>
        <scheme val="minor"/>
      </rPr>
      <t>，例如：</t>
    </r>
  </si>
  <si>
    <t>bush</t>
  </si>
  <si>
    <t>stage</t>
  </si>
  <si>
    <t>special</t>
  </si>
  <si>
    <t>所以像你之前定的：</t>
  </si>
  <si>
    <t>item_hat_tiara_global</t>
  </si>
  <si>
    <t>這種格式就是對的。</t>
  </si>
  <si>
    <r>
      <t>二、</t>
    </r>
    <r>
      <rPr>
        <b/>
        <sz val="10"/>
        <color theme="1"/>
        <rFont val="Arial Unicode MS"/>
        <family val="2"/>
      </rPr>
      <t>rarity</t>
    </r>
    <r>
      <rPr>
        <b/>
        <sz val="24"/>
        <color theme="1"/>
        <rFont val="新細明體"/>
        <family val="1"/>
        <charset val="136"/>
        <scheme val="minor"/>
      </rPr>
      <t xml:space="preserve"> 最終規則</t>
    </r>
  </si>
  <si>
    <t>這是最重要的部分。</t>
  </si>
  <si>
    <t>我建議你正式固定成這 6 種：</t>
  </si>
  <si>
    <t>dream</t>
  </si>
  <si>
    <t>myth</t>
  </si>
  <si>
    <t>legendary</t>
  </si>
  <si>
    <r>
      <t xml:space="preserve">1. </t>
    </r>
    <r>
      <rPr>
        <b/>
        <sz val="10"/>
        <color theme="1"/>
        <rFont val="Arial Unicode MS"/>
        <family val="2"/>
      </rPr>
      <t>common</t>
    </r>
  </si>
  <si>
    <t>通用普通裝</t>
  </si>
  <si>
    <t>最常見</t>
  </si>
  <si>
    <t>小寶箱 / 大寶箱 / 夢幻寶箱都可能出</t>
  </si>
  <si>
    <t>給小孩穩定收集感</t>
  </si>
  <si>
    <t>例子</t>
  </si>
  <si>
    <t>rarity: 'common'</t>
  </si>
  <si>
    <r>
      <t xml:space="preserve">2. </t>
    </r>
    <r>
      <rPr>
        <b/>
        <sz val="10"/>
        <color theme="1"/>
        <rFont val="Arial Unicode MS"/>
        <family val="2"/>
      </rPr>
      <t>rare</t>
    </r>
  </si>
  <si>
    <t>通用稀有裝</t>
  </si>
  <si>
    <t>比 common 少見</t>
  </si>
  <si>
    <t>小寶箱低機率</t>
  </si>
  <si>
    <t>大寶箱正常機率</t>
  </si>
  <si>
    <t>夢幻寶箱也可能出</t>
  </si>
  <si>
    <t>rarity: 'rare'</t>
  </si>
  <si>
    <r>
      <t xml:space="preserve">3. </t>
    </r>
    <r>
      <rPr>
        <b/>
        <sz val="10"/>
        <color theme="1"/>
        <rFont val="Arial Unicode MS"/>
        <family val="2"/>
      </rPr>
      <t>stage</t>
    </r>
  </si>
  <si>
    <t>關卡限定裝</t>
  </si>
  <si>
    <t>特定關卡掉落</t>
  </si>
  <si>
    <t>不應該亂入別的關卡</t>
  </si>
  <si>
    <t>關卡寶箱專用或偏專用</t>
  </si>
  <si>
    <t>rarity: 'stage'</t>
  </si>
  <si>
    <r>
      <t xml:space="preserve">4. </t>
    </r>
    <r>
      <rPr>
        <b/>
        <sz val="10"/>
        <color theme="1"/>
        <rFont val="Arial Unicode MS"/>
        <family val="2"/>
      </rPr>
      <t>dream</t>
    </r>
  </si>
  <si>
    <t>夢幻裝</t>
  </si>
  <si>
    <t>高級稀有裝</t>
  </si>
  <si>
    <t>主要來自夢幻寶箱</t>
  </si>
  <si>
    <t>比 rare 更珍貴，但不是最高級</t>
  </si>
  <si>
    <t>rarity: 'dream'</t>
  </si>
  <si>
    <r>
      <t xml:space="preserve">5. </t>
    </r>
    <r>
      <rPr>
        <b/>
        <sz val="10"/>
        <color theme="1"/>
        <rFont val="Arial Unicode MS"/>
        <family val="2"/>
      </rPr>
      <t>myth</t>
    </r>
  </si>
  <si>
    <t>神話裝</t>
  </si>
  <si>
    <t>正式抽獎池內最高級</t>
  </si>
  <si>
    <t>夢幻寶箱極低機率掉落</t>
  </si>
  <si>
    <t>例如你現在設計的 0.5%</t>
  </si>
  <si>
    <t>rarity: 'myth'</t>
  </si>
  <si>
    <r>
      <t xml:space="preserve">6. </t>
    </r>
    <r>
      <rPr>
        <b/>
        <sz val="10"/>
        <color theme="1"/>
        <rFont val="Arial Unicode MS"/>
        <family val="2"/>
      </rPr>
      <t>legendary</t>
    </r>
  </si>
  <si>
    <t>特殊彩蛋顯示稀有度</t>
  </si>
  <si>
    <t>給特殊裝備的卡片演出 / 收藏標記</t>
  </si>
  <si>
    <t>不代表它一定能進抽獎池</t>
  </si>
  <si>
    <t>例如「母上的守護」</t>
  </si>
  <si>
    <t>很重要</t>
  </si>
  <si>
    <r>
      <t>legendary</t>
    </r>
    <r>
      <rPr>
        <sz val="11"/>
        <color theme="1"/>
        <rFont val="新細明體"/>
        <family val="2"/>
        <scheme val="minor"/>
      </rPr>
      <t xml:space="preserve"> 不是你目前正式寶箱池的一部分。</t>
    </r>
  </si>
  <si>
    <t>它比較像是：</t>
  </si>
  <si>
    <t>特殊收藏級標籤</t>
  </si>
  <si>
    <t>rarity: 'legendary'</t>
  </si>
  <si>
    <r>
      <t>三、</t>
    </r>
    <r>
      <rPr>
        <b/>
        <sz val="10"/>
        <color theme="1"/>
        <rFont val="Arial Unicode MS"/>
        <family val="2"/>
      </rPr>
      <t>source</t>
    </r>
    <r>
      <rPr>
        <b/>
        <sz val="24"/>
        <color theme="1"/>
        <rFont val="新細明體"/>
        <family val="1"/>
        <charset val="136"/>
        <scheme val="minor"/>
      </rPr>
      <t xml:space="preserve"> 最終規則</t>
    </r>
  </si>
  <si>
    <t>這是控制「從哪裡來」和「能不能進池」的核心。</t>
  </si>
  <si>
    <t>我建議固定用這些：</t>
  </si>
  <si>
    <t>你也可以依你的地圖 / 小遊戲繼續加，但規則要一致。</t>
  </si>
  <si>
    <r>
      <t xml:space="preserve">1. </t>
    </r>
    <r>
      <rPr>
        <b/>
        <sz val="10"/>
        <color theme="1"/>
        <rFont val="Arial Unicode MS"/>
        <family val="2"/>
      </rPr>
      <t>global</t>
    </r>
  </si>
  <si>
    <t>全遊戲共通掉落</t>
  </si>
  <si>
    <t>可進一般寶箱池</t>
  </si>
  <si>
    <t>不限定特定關卡</t>
  </si>
  <si>
    <t>source: 'global'</t>
  </si>
  <si>
    <r>
      <t xml:space="preserve">2. </t>
    </r>
    <r>
      <rPr>
        <b/>
        <sz val="10"/>
        <color theme="1"/>
        <rFont val="Arial Unicode MS"/>
        <family val="2"/>
      </rPr>
      <t>bush</t>
    </r>
  </si>
  <si>
    <t>草叢尋寶來源</t>
  </si>
  <si>
    <t>BushExplore 專屬掉落</t>
  </si>
  <si>
    <r>
      <t xml:space="preserve">若 </t>
    </r>
    <r>
      <rPr>
        <sz val="10"/>
        <color theme="1"/>
        <rFont val="Arial Unicode MS"/>
        <family val="2"/>
      </rPr>
      <t>rarity: stage</t>
    </r>
    <r>
      <rPr>
        <sz val="11"/>
        <color theme="1"/>
        <rFont val="新細明體"/>
        <family val="2"/>
        <scheme val="minor"/>
      </rPr>
      <t>，通常就是草叢限定裝</t>
    </r>
  </si>
  <si>
    <t>source: 'bush'</t>
  </si>
  <si>
    <r>
      <t xml:space="preserve">3. </t>
    </r>
    <r>
      <rPr>
        <b/>
        <sz val="10"/>
        <color theme="1"/>
        <rFont val="Arial Unicode MS"/>
        <family val="2"/>
      </rPr>
      <t>campfire</t>
    </r>
  </si>
  <si>
    <t>營火遊戲來源</t>
  </si>
  <si>
    <t>source: 'campfire'</t>
  </si>
  <si>
    <r>
      <t xml:space="preserve">4. </t>
    </r>
    <r>
      <rPr>
        <b/>
        <sz val="10"/>
        <color theme="1"/>
        <rFont val="Arial Unicode MS"/>
        <family val="2"/>
      </rPr>
      <t>firefly</t>
    </r>
  </si>
  <si>
    <t>螢火蟲遊戲來源</t>
  </si>
  <si>
    <t>source: 'firefly'</t>
  </si>
  <si>
    <r>
      <t xml:space="preserve">5. </t>
    </r>
    <r>
      <rPr>
        <b/>
        <sz val="10"/>
        <color theme="1"/>
        <rFont val="Arial Unicode MS"/>
        <family val="2"/>
      </rPr>
      <t>animals</t>
    </r>
  </si>
  <si>
    <t>動物相關小遊戲來源</t>
  </si>
  <si>
    <t>source: 'animals'</t>
  </si>
  <si>
    <r>
      <t xml:space="preserve">6. </t>
    </r>
    <r>
      <rPr>
        <b/>
        <sz val="10"/>
        <color theme="1"/>
        <rFont val="Arial Unicode MS"/>
        <family val="2"/>
      </rPr>
      <t>constellation</t>
    </r>
  </si>
  <si>
    <t>星座 / 星空類來源</t>
  </si>
  <si>
    <t>source: 'constellation'</t>
  </si>
  <si>
    <r>
      <t xml:space="preserve">7. </t>
    </r>
    <r>
      <rPr>
        <b/>
        <sz val="10"/>
        <color theme="1"/>
        <rFont val="Arial Unicode MS"/>
        <family val="2"/>
      </rPr>
      <t>secret</t>
    </r>
  </si>
  <si>
    <t>彩蛋 / 特殊取得，不進普通抽獎池</t>
  </si>
  <si>
    <t>這個超重要</t>
  </si>
  <si>
    <t>只要：</t>
  </si>
  <si>
    <t>source: 'secret'</t>
  </si>
  <si>
    <t>就代表：</t>
  </si>
  <si>
    <t>不進一般寶箱池</t>
  </si>
  <si>
    <t>不靠正常掉落取得</t>
  </si>
  <si>
    <t>靠彩蛋、特殊條件、首頁事件之類取得</t>
  </si>
  <si>
    <r>
      <t xml:space="preserve">8. </t>
    </r>
    <r>
      <rPr>
        <b/>
        <sz val="10"/>
        <color theme="1"/>
        <rFont val="Arial Unicode MS"/>
        <family val="2"/>
      </rPr>
      <t>special</t>
    </r>
  </si>
  <si>
    <t>特殊事件來源</t>
  </si>
  <si>
    <t>不是一般寶箱池</t>
  </si>
  <si>
    <t>來自特別事件</t>
  </si>
  <si>
    <t>例如國王蟲送的小王冠</t>
  </si>
  <si>
    <t>source: 'special'</t>
  </si>
  <si>
    <t>四、最終判斷原則</t>
  </si>
  <si>
    <t>這邊最重要，我直接幫你定規則：</t>
  </si>
  <si>
    <r>
      <t xml:space="preserve">A. 能不能進一般抽獎池，看 </t>
    </r>
    <r>
      <rPr>
        <b/>
        <sz val="10"/>
        <color theme="1"/>
        <rFont val="Arial Unicode MS"/>
        <family val="2"/>
      </rPr>
      <t>source</t>
    </r>
  </si>
  <si>
    <r>
      <t xml:space="preserve">不看 </t>
    </r>
    <r>
      <rPr>
        <b/>
        <sz val="10"/>
        <color theme="1"/>
        <rFont val="Arial Unicode MS"/>
        <family val="2"/>
      </rPr>
      <t>rarity</t>
    </r>
  </si>
  <si>
    <t>也就是說：</t>
  </si>
  <si>
    <r>
      <t>source !== 'secret'</t>
    </r>
    <r>
      <rPr>
        <sz val="11"/>
        <color theme="1"/>
        <rFont val="新細明體"/>
        <family val="2"/>
        <scheme val="minor"/>
      </rPr>
      <t xml:space="preserve"> 才可能進一般抽獎</t>
    </r>
  </si>
  <si>
    <r>
      <t>source === 'secret'</t>
    </r>
    <r>
      <rPr>
        <sz val="11"/>
        <color theme="1"/>
        <rFont val="新細明體"/>
        <family val="2"/>
        <scheme val="minor"/>
      </rPr>
      <t xml:space="preserve"> 就不進一般池</t>
    </r>
  </si>
  <si>
    <r>
      <t xml:space="preserve">B. 顯示什麼顏色 / 稀有度文字，看 </t>
    </r>
    <r>
      <rPr>
        <b/>
        <sz val="10"/>
        <color theme="1"/>
        <rFont val="Arial Unicode MS"/>
        <family val="2"/>
      </rPr>
      <t>rarity</t>
    </r>
  </si>
  <si>
    <r>
      <t>common</t>
    </r>
    <r>
      <rPr>
        <sz val="11"/>
        <color theme="1"/>
        <rFont val="新細明體"/>
        <family val="2"/>
        <scheme val="minor"/>
      </rPr>
      <t xml:space="preserve"> 顯示普通</t>
    </r>
  </si>
  <si>
    <r>
      <t>rare</t>
    </r>
    <r>
      <rPr>
        <sz val="11"/>
        <color theme="1"/>
        <rFont val="新細明體"/>
        <family val="2"/>
        <scheme val="minor"/>
      </rPr>
      <t xml:space="preserve"> 顯示稀有</t>
    </r>
  </si>
  <si>
    <r>
      <t>dream</t>
    </r>
    <r>
      <rPr>
        <sz val="11"/>
        <color theme="1"/>
        <rFont val="新細明體"/>
        <family val="2"/>
        <scheme val="minor"/>
      </rPr>
      <t xml:space="preserve"> 顯示夢幻</t>
    </r>
  </si>
  <si>
    <r>
      <t>myth</t>
    </r>
    <r>
      <rPr>
        <sz val="11"/>
        <color theme="1"/>
        <rFont val="新細明體"/>
        <family val="2"/>
        <scheme val="minor"/>
      </rPr>
      <t xml:space="preserve"> 顯示神話</t>
    </r>
  </si>
  <si>
    <r>
      <t>legendary</t>
    </r>
    <r>
      <rPr>
        <sz val="11"/>
        <color theme="1"/>
        <rFont val="新細明體"/>
        <family val="2"/>
        <scheme val="minor"/>
      </rPr>
      <t xml:space="preserve"> 顯示傳說</t>
    </r>
  </si>
  <si>
    <t>C. 關卡限定裝最穩的寫法</t>
  </si>
  <si>
    <t>建議這樣：</t>
  </si>
  <si>
    <t>rarity: 'stage',</t>
  </si>
  <si>
    <t>意思就是：</t>
  </si>
  <si>
    <t>它是關卡限定裝</t>
  </si>
  <si>
    <t>它屬於草叢尋寶這個遊戲</t>
  </si>
  <si>
    <t>這樣最清楚。</t>
  </si>
  <si>
    <t>五、你現在最終推薦結構</t>
  </si>
  <si>
    <t>一般通用裝</t>
  </si>
  <si>
    <t>{</t>
  </si>
  <si>
    <t xml:space="preserve">    id: 'item_hat_flower_global',</t>
  </si>
  <si>
    <t xml:space="preserve">    name: '花花小帽',</t>
  </si>
  <si>
    <t xml:space="preserve">    category: 'equipment',</t>
  </si>
  <si>
    <t xml:space="preserve">    slot: 'hat',</t>
  </si>
  <si>
    <t xml:space="preserve">    rarity: 'common',</t>
  </si>
  <si>
    <t xml:space="preserve">    source: 'global'</t>
  </si>
  <si>
    <t>}</t>
  </si>
  <si>
    <t xml:space="preserve">    id: 'item_cloth_moonrobe_global',</t>
  </si>
  <si>
    <t xml:space="preserve">    name: '月光小披風',</t>
  </si>
  <si>
    <t xml:space="preserve">    slot: 'cloth',</t>
  </si>
  <si>
    <t xml:space="preserve">    rarity: 'rare',</t>
  </si>
  <si>
    <t>草叢關卡限定裝</t>
  </si>
  <si>
    <t xml:space="preserve">    id: 'item_hat_leafcrown_bush',</t>
  </si>
  <si>
    <t xml:space="preserve">    name: '葉葉小王冠',</t>
  </si>
  <si>
    <t xml:space="preserve">    rarity: 'stage',</t>
  </si>
  <si>
    <t xml:space="preserve">    source: 'bush'</t>
  </si>
  <si>
    <t xml:space="preserve">    id: 'item_cloth_rainbowdress_global',</t>
  </si>
  <si>
    <t xml:space="preserve">    name: '彩虹夢洋裝',</t>
  </si>
  <si>
    <t xml:space="preserve">    rarity: 'dream',</t>
  </si>
  <si>
    <t xml:space="preserve">    id: 'item_fullset_starlight_global',</t>
  </si>
  <si>
    <t xml:space="preserve">    name: '星光神話套裝',</t>
  </si>
  <si>
    <t xml:space="preserve">    slot: 'fullset',</t>
  </si>
  <si>
    <t xml:space="preserve">    rarity: 'myth',</t>
  </si>
  <si>
    <t xml:space="preserve">    id: 'item_fullset_motherslove_secret',</t>
  </si>
  <si>
    <t xml:space="preserve">    name: '母上的守護',</t>
  </si>
  <si>
    <t xml:space="preserve">    rarity: 'legendary',</t>
  </si>
  <si>
    <t xml:space="preserve">    source: 'secret'</t>
  </si>
  <si>
    <t>這樣代表：</t>
  </si>
  <si>
    <t>顯示上它是傳說級</t>
  </si>
  <si>
    <t>但它不進一般抽獎池</t>
  </si>
  <si>
    <t>只能靠彩蛋拿到</t>
  </si>
  <si>
    <t>這就是你現在最適合的設定。</t>
  </si>
  <si>
    <t>國王蟲禮物：小王冠</t>
  </si>
  <si>
    <t xml:space="preserve">    id: 'item_hat_littlecrown_special',</t>
  </si>
  <si>
    <t xml:space="preserve">    name: '小王冠',</t>
  </si>
  <si>
    <t xml:space="preserve">    source: 'special'</t>
  </si>
  <si>
    <t>或你想讓它更高級也可以：</t>
  </si>
  <si>
    <t>rarity: 'legendary',</t>
  </si>
  <si>
    <t>都行。</t>
  </si>
  <si>
    <t>六、命名規則表，正式版</t>
  </si>
  <si>
    <r>
      <t>rarity</t>
    </r>
    <r>
      <rPr>
        <b/>
        <sz val="18"/>
        <color theme="1"/>
        <rFont val="新細明體"/>
        <family val="1"/>
        <charset val="136"/>
        <scheme val="minor"/>
      </rPr>
      <t xml:space="preserve"> 用途表</t>
    </r>
  </si>
  <si>
    <t>中文建議</t>
  </si>
  <si>
    <t>是否進正式寶箱池</t>
  </si>
  <si>
    <t>普通</t>
  </si>
  <si>
    <t>可</t>
  </si>
  <si>
    <t>稀有</t>
  </si>
  <si>
    <t>關卡限定</t>
  </si>
  <si>
    <t>可，但限對應遊戲</t>
  </si>
  <si>
    <t>夢幻</t>
  </si>
  <si>
    <t>可，主要夢幻寶箱</t>
  </si>
  <si>
    <t>神話</t>
  </si>
  <si>
    <t>可，極低機率</t>
  </si>
  <si>
    <t>傳說 / 特殊收藏</t>
  </si>
  <si>
    <t>原則上不作正式池主體</t>
  </si>
  <si>
    <r>
      <t>source</t>
    </r>
    <r>
      <rPr>
        <b/>
        <sz val="18"/>
        <color theme="1"/>
        <rFont val="新細明體"/>
        <family val="1"/>
        <charset val="136"/>
        <scheme val="minor"/>
      </rPr>
      <t xml:space="preserve"> 用途表</t>
    </r>
  </si>
  <si>
    <t>是否進一般抽獎池</t>
  </si>
  <si>
    <t>全域共通</t>
  </si>
  <si>
    <t>草叢尋寶</t>
  </si>
  <si>
    <t>營火</t>
  </si>
  <si>
    <t>螢火蟲</t>
  </si>
  <si>
    <t>動物玩法</t>
  </si>
  <si>
    <t>星座玩法</t>
  </si>
  <si>
    <t>特殊事件</t>
  </si>
  <si>
    <t>視你程式控制</t>
  </si>
  <si>
    <t>彩蛋取得</t>
  </si>
  <si>
    <t>不可</t>
  </si>
  <si>
    <t>七、你之後寫 ITEM_DB 的一句話規則</t>
  </si>
  <si>
    <t>最穩公式</t>
  </si>
  <si>
    <r>
      <t>rarity</t>
    </r>
    <r>
      <rPr>
        <b/>
        <sz val="11"/>
        <color theme="1"/>
        <rFont val="新細明體"/>
        <family val="1"/>
        <charset val="136"/>
        <scheme val="minor"/>
      </rPr>
      <t xml:space="preserve"> 管顯示與稀有度，</t>
    </r>
    <r>
      <rPr>
        <b/>
        <sz val="10"/>
        <color theme="1"/>
        <rFont val="Arial Unicode MS"/>
        <family val="2"/>
      </rPr>
      <t>source</t>
    </r>
    <r>
      <rPr>
        <b/>
        <sz val="11"/>
        <color theme="1"/>
        <rFont val="新細明體"/>
        <family val="1"/>
        <charset val="136"/>
        <scheme val="minor"/>
      </rPr>
      <t xml:space="preserve"> 管來源與是否進池。</t>
    </r>
  </si>
  <si>
    <t>八、我幫你做最後定稿建議</t>
  </si>
  <si>
    <t>你之後就照這個原則走：</t>
  </si>
  <si>
    <t>正式抽獎主稀有度</t>
  </si>
  <si>
    <t>common / rare / stage / dream / myth</t>
  </si>
  <si>
    <t>不進一般池的控制</t>
  </si>
  <si>
    <t>九、超簡短版本，給你之後查</t>
  </si>
  <si>
    <t>rarity:</t>
  </si>
  <si>
    <t>common / rare / stage / dream / myth / legendary</t>
  </si>
  <si>
    <t>source:</t>
  </si>
  <si>
    <t>global / bush / campfire / firefly / animals / constellation / special / secret</t>
  </si>
  <si>
    <r>
      <t xml:space="preserve">你下一步最適合做的是把你現有的 </t>
    </r>
    <r>
      <rPr>
        <sz val="10"/>
        <color theme="1"/>
        <rFont val="Arial Unicode MS"/>
        <family val="2"/>
      </rPr>
      <t>ITEM_DB</t>
    </r>
    <r>
      <rPr>
        <sz val="11"/>
        <color theme="1"/>
        <rFont val="新細明體"/>
        <family val="2"/>
        <scheme val="minor"/>
      </rPr>
      <t xml:space="preserve"> 其中幾件貼上來，我幫你直接檢查哪些要改成這套格式。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</si>
</sst>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##"/>
  </numFmts>
  <fonts count="13">
    <font>
      <sz val="11"/>
      <color theme="1"/>
      <name val="新細明體"/>
      <family val="2"/>
      <scheme val="minor"/>
    </font>
    <font>
      <b/>
      <sz val="14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color rgb="FF0000FF"/>
      <name val="新細明體"/>
      <family val="1"/>
      <charset val="136"/>
    </font>
    <font>
      <sz val="11"/>
      <color rgb="FF000000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3.5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EAF2E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2" fillId="3" borderId="0" xfId="0" applyFont="1" applyFill="1"/>
    <xf numFmtId="0" fontId="0" fillId="4" borderId="0" xfId="0" applyFill="1"/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/>
    <xf numFmtId="0" fontId="0" fillId="0" borderId="0" xfId="0"/>
    <xf numFmtId="0" fontId="7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mentMaster" displayName="EquipmentMaster" ref="A1:X31">
  <autoFilter ref="A1:X31" xr:uid="{00000000-0009-0000-0100-000001000000}"/>
  <tableColumns count="24">
    <tableColumn id="1" xr3:uid="{00000000-0010-0000-0000-000001000000}" name="id"/>
    <tableColumn id="2" xr3:uid="{00000000-0010-0000-0000-000002000000}" name="name"/>
    <tableColumn id="3" xr3:uid="{00000000-0010-0000-0000-000003000000}" name="category"/>
    <tableColumn id="4" xr3:uid="{00000000-0010-0000-0000-000004000000}" name="type"/>
    <tableColumn id="5" xr3:uid="{00000000-0010-0000-0000-000005000000}" name="source"/>
    <tableColumn id="6" xr3:uid="{00000000-0010-0000-0000-000006000000}" name="rarity"/>
    <tableColumn id="7" xr3:uid="{00000000-0010-0000-0000-000007000000}" name="texture"/>
    <tableColumn id="8" xr3:uid="{00000000-0010-0000-0000-000008000000}" name="icon"/>
    <tableColumn id="9" xr3:uid="{00000000-0010-0000-0000-000009000000}" name="placeable"/>
    <tableColumn id="10" xr3:uid="{00000000-0010-0000-0000-00000A000000}" name="effectType"/>
    <tableColumn id="11" xr3:uid="{00000000-0010-0000-0000-00000B000000}" name="effectValue"/>
    <tableColumn id="12" xr3:uid="{00000000-0010-0000-0000-00000C000000}" name="effectType2"/>
    <tableColumn id="13" xr3:uid="{00000000-0010-0000-0000-00000D000000}" name="effectValue2"/>
    <tableColumn id="14" xr3:uid="{00000000-0010-0000-0000-00000E000000}" name="rewardRate"/>
    <tableColumn id="15" xr3:uid="{00000000-0010-0000-0000-00000F000000}" name="dropRate"/>
    <tableColumn id="16" xr3:uid="{00000000-0010-0000-0000-000010000000}" name="extraPlayCount"/>
    <tableColumn id="17" xr3:uid="{00000000-0010-0000-0000-000011000000}" name="unlockType"/>
    <tableColumn id="18" xr3:uid="{00000000-0010-0000-0000-000012000000}" name="desc"/>
    <tableColumn id="19" xr3:uid="{00000000-0010-0000-0000-000013000000}" name="status"/>
    <tableColumn id="20" xr3:uid="{00000000-0010-0000-0000-000014000000}" name="notes"/>
    <tableColumn id="21" xr3:uid="{00000000-0010-0000-0000-000015000000}" name="exportEnabled"/>
    <tableColumn id="22" xr3:uid="{00000000-0010-0000-0000-000016000000}" name="sortOrder"/>
    <tableColumn id="23" xr3:uid="{00000000-0010-0000-0000-000017000000}" name="gameKey"/>
    <tableColumn id="24" xr3:uid="{00000000-0010-0000-0000-000018000000}" name="json_p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4.5"/>
  <cols>
    <col min="1" max="1" width="16" customWidth="1"/>
    <col min="2" max="2" width="90" customWidth="1"/>
  </cols>
  <sheetData>
    <row r="1" spans="1:7" ht="19.5">
      <c r="A1" s="16" t="s">
        <v>0</v>
      </c>
      <c r="B1" s="17"/>
      <c r="C1" s="17"/>
      <c r="D1" s="17"/>
      <c r="E1" s="17"/>
      <c r="F1" s="17"/>
      <c r="G1" s="17"/>
    </row>
    <row r="3" spans="1:7" ht="29">
      <c r="A3" s="1" t="s">
        <v>1</v>
      </c>
      <c r="B3" s="2" t="s">
        <v>2</v>
      </c>
    </row>
    <row r="4" spans="1:7">
      <c r="A4" s="1" t="s">
        <v>3</v>
      </c>
      <c r="B4" s="2" t="s">
        <v>4</v>
      </c>
    </row>
    <row r="5" spans="1:7">
      <c r="A5" s="1" t="s">
        <v>5</v>
      </c>
      <c r="B5" s="2" t="s">
        <v>6</v>
      </c>
    </row>
    <row r="6" spans="1:7">
      <c r="A6" s="1" t="s">
        <v>7</v>
      </c>
      <c r="B6" s="2" t="s">
        <v>8</v>
      </c>
    </row>
    <row r="7" spans="1:7" ht="29">
      <c r="A7" s="1" t="s">
        <v>9</v>
      </c>
      <c r="B7" s="2" t="s">
        <v>10</v>
      </c>
    </row>
    <row r="8" spans="1:7">
      <c r="A8" s="1" t="s">
        <v>11</v>
      </c>
      <c r="B8" s="2" t="s">
        <v>12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/>
  </sheetViews>
  <sheetFormatPr defaultRowHeight="14.5"/>
  <cols>
    <col min="1" max="1" width="14" customWidth="1"/>
    <col min="2" max="2" width="15" customWidth="1"/>
    <col min="3" max="3" width="14" customWidth="1"/>
    <col min="4" max="4" width="16" customWidth="1"/>
    <col min="5" max="7" width="14" customWidth="1"/>
  </cols>
  <sheetData>
    <row r="1" spans="1:7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>
      <c r="A2" s="4" t="s">
        <v>20</v>
      </c>
      <c r="B2" s="4" t="s">
        <v>21</v>
      </c>
      <c r="C2" s="4" t="s">
        <v>22</v>
      </c>
      <c r="D2" s="4" t="s">
        <v>23</v>
      </c>
      <c r="E2" s="4" t="s">
        <v>21</v>
      </c>
      <c r="F2" s="4" t="s">
        <v>24</v>
      </c>
      <c r="G2" s="4" t="s">
        <v>25</v>
      </c>
    </row>
    <row r="3" spans="1:7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</row>
    <row r="4" spans="1:7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</row>
    <row r="5" spans="1:7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</row>
    <row r="6" spans="1:7">
      <c r="B6" s="4" t="s">
        <v>45</v>
      </c>
      <c r="D6" s="4" t="s">
        <v>46</v>
      </c>
      <c r="E6" s="4" t="s">
        <v>47</v>
      </c>
    </row>
    <row r="7" spans="1:7">
      <c r="B7" s="4" t="s">
        <v>48</v>
      </c>
      <c r="D7" s="4" t="s">
        <v>49</v>
      </c>
      <c r="E7" s="4" t="s">
        <v>50</v>
      </c>
    </row>
    <row r="8" spans="1:7">
      <c r="B8" s="4" t="s">
        <v>51</v>
      </c>
      <c r="D8" s="4" t="s">
        <v>52</v>
      </c>
      <c r="E8" s="4" t="s">
        <v>53</v>
      </c>
    </row>
    <row r="9" spans="1:7">
      <c r="B9" s="4" t="s">
        <v>50</v>
      </c>
      <c r="D9" s="4" t="s">
        <v>54</v>
      </c>
    </row>
    <row r="10" spans="1:7">
      <c r="D10" s="4" t="s">
        <v>55</v>
      </c>
    </row>
    <row r="11" spans="1:7">
      <c r="D11" s="4" t="s">
        <v>56</v>
      </c>
    </row>
    <row r="12" spans="1:7">
      <c r="D12" s="4" t="s">
        <v>57</v>
      </c>
    </row>
    <row r="13" spans="1:7">
      <c r="D13" s="4" t="s">
        <v>58</v>
      </c>
    </row>
    <row r="14" spans="1:7">
      <c r="D14" s="4" t="s">
        <v>59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"/>
  <sheetViews>
    <sheetView showGridLines="0" workbookViewId="0">
      <pane ySplit="1" topLeftCell="A3" activePane="bottomLeft" state="frozen"/>
      <selection pane="bottomLeft" activeCell="E5" sqref="E5"/>
    </sheetView>
  </sheetViews>
  <sheetFormatPr defaultColWidth="65.09765625" defaultRowHeight="14.5"/>
  <cols>
    <col min="1" max="1" width="27.19921875" bestFit="1" customWidth="1"/>
    <col min="2" max="2" width="15" bestFit="1" customWidth="1"/>
    <col min="3" max="3" width="14.19921875" bestFit="1" customWidth="1"/>
    <col min="4" max="4" width="10.296875" bestFit="1" customWidth="1"/>
    <col min="5" max="5" width="12.296875" bestFit="1" customWidth="1"/>
    <col min="6" max="6" width="11.5" bestFit="1" customWidth="1"/>
    <col min="7" max="7" width="20.59765625" bestFit="1" customWidth="1"/>
    <col min="8" max="8" width="25.3984375" bestFit="1" customWidth="1"/>
    <col min="9" max="9" width="15" bestFit="1" customWidth="1"/>
    <col min="10" max="10" width="16.3984375" bestFit="1" customWidth="1"/>
    <col min="11" max="11" width="17.296875" bestFit="1" customWidth="1"/>
    <col min="12" max="12" width="17.59765625" bestFit="1" customWidth="1"/>
    <col min="13" max="13" width="18.5" bestFit="1" customWidth="1"/>
    <col min="14" max="14" width="17.09765625" bestFit="1" customWidth="1"/>
    <col min="15" max="15" width="14.69921875" bestFit="1" customWidth="1"/>
    <col min="16" max="16" width="21" bestFit="1" customWidth="1"/>
    <col min="17" max="17" width="17.296875" bestFit="1" customWidth="1"/>
    <col min="18" max="18" width="29.3984375" bestFit="1" customWidth="1"/>
    <col min="19" max="19" width="11.69921875" bestFit="1" customWidth="1"/>
    <col min="20" max="20" width="47.19921875" bestFit="1" customWidth="1"/>
    <col min="21" max="21" width="20" bestFit="1" customWidth="1"/>
    <col min="22" max="22" width="15.19921875" bestFit="1" customWidth="1"/>
    <col min="23" max="23" width="16.3984375" bestFit="1" customWidth="1"/>
    <col min="24" max="24" width="85.796875" bestFit="1" customWidth="1"/>
  </cols>
  <sheetData>
    <row r="1" spans="1:24">
      <c r="A1" s="5" t="s">
        <v>60</v>
      </c>
      <c r="B1" s="5" t="s">
        <v>61</v>
      </c>
      <c r="C1" s="5" t="s">
        <v>62</v>
      </c>
      <c r="D1" s="5" t="s">
        <v>13</v>
      </c>
      <c r="E1" s="5" t="s">
        <v>14</v>
      </c>
      <c r="F1" s="5" t="s">
        <v>15</v>
      </c>
      <c r="G1" s="5" t="s">
        <v>63</v>
      </c>
      <c r="H1" s="5" t="s">
        <v>64</v>
      </c>
      <c r="I1" s="5" t="s">
        <v>65</v>
      </c>
      <c r="J1" s="5" t="s">
        <v>16</v>
      </c>
      <c r="K1" s="5" t="s">
        <v>66</v>
      </c>
      <c r="L1" s="5" t="s">
        <v>67</v>
      </c>
      <c r="M1" s="5" t="s">
        <v>68</v>
      </c>
      <c r="N1" s="5" t="s">
        <v>29</v>
      </c>
      <c r="O1" s="5" t="s">
        <v>36</v>
      </c>
      <c r="P1" s="5" t="s">
        <v>42</v>
      </c>
      <c r="Q1" s="5" t="s">
        <v>17</v>
      </c>
      <c r="R1" s="5" t="s">
        <v>69</v>
      </c>
      <c r="S1" s="5" t="s">
        <v>18</v>
      </c>
      <c r="T1" s="5" t="s">
        <v>70</v>
      </c>
      <c r="U1" s="5" t="s">
        <v>71</v>
      </c>
      <c r="V1" s="5" t="s">
        <v>72</v>
      </c>
      <c r="W1" s="5" t="s">
        <v>73</v>
      </c>
      <c r="X1" s="5" t="s">
        <v>74</v>
      </c>
    </row>
    <row r="2" spans="1:24" ht="72.5">
      <c r="A2" s="6" t="s">
        <v>75</v>
      </c>
      <c r="B2" s="6" t="s">
        <v>76</v>
      </c>
      <c r="C2" s="7" t="s">
        <v>77</v>
      </c>
      <c r="D2" s="6" t="s">
        <v>20</v>
      </c>
      <c r="E2" s="6" t="s">
        <v>21</v>
      </c>
      <c r="F2" s="6" t="s">
        <v>22</v>
      </c>
      <c r="G2" s="6" t="s">
        <v>75</v>
      </c>
      <c r="H2" s="6" t="s">
        <v>75</v>
      </c>
      <c r="I2" s="6" t="b">
        <v>0</v>
      </c>
      <c r="J2" s="6" t="s">
        <v>23</v>
      </c>
      <c r="K2" s="8">
        <v>0</v>
      </c>
      <c r="L2" s="6" t="s">
        <v>23</v>
      </c>
      <c r="M2" s="8">
        <v>0</v>
      </c>
      <c r="N2" s="9">
        <v>0</v>
      </c>
      <c r="O2" s="9">
        <v>0</v>
      </c>
      <c r="P2" s="10">
        <v>0</v>
      </c>
      <c r="Q2" s="6" t="s">
        <v>21</v>
      </c>
      <c r="R2" s="6" t="s">
        <v>78</v>
      </c>
      <c r="S2" s="6" t="s">
        <v>38</v>
      </c>
      <c r="T2" s="6"/>
      <c r="U2" s="11" t="b">
        <v>1</v>
      </c>
      <c r="V2" s="6">
        <v>1</v>
      </c>
      <c r="W2" s="7" t="s">
        <v>79</v>
      </c>
      <c r="X2" s="12" t="str">
        <f>IF($A2="","","{""id"":"""&amp;$A2&amp;""",""name"":"""&amp;$B2&amp;""",""category"":"""&amp;$C2&amp;""",""type"":"""&amp;$D2&amp;""",""source"":"""&amp;$E2&amp;""",""rarity"":"""&amp;$F2&amp;""",""texture"":"""&amp;$G2&amp;""",""icon"":"""&amp;$H2&amp;""",""placeable"":""&amp;IF($I2,""true"",""false"")&amp;"",""effects"":[{""type"":"""&amp;$J2&amp;""",""value"":""&amp;TEXT($K2,""0.##"")&amp;""},{""type"":"""&amp;$L2&amp;""",""value"":""&amp;TEXT($M2,""0.##"")&amp;""}],""unlockType"":"""&amp;$Q2&amp;""",""desc"":"""&amp;$R2&amp;"""}" )</f>
        <v>{"id":"item_hat_daily_01","name":"小髮夾","category":"equipment","type":"hat","source":"starter","rarity":"common","texture":"item_hat_daily_01","icon":"item_hat_daily_01","placeable":"&amp;IF($I2,"true","false")&amp;","effects":[{"type":"none","value":"&amp;TEXT($K2,"0.##")&amp;"},{"type":"none","value":"&amp;TEXT($M2,"0.##")&amp;"}],"unlockType":"starter","desc":"簡單可愛的小髮夾"}</v>
      </c>
    </row>
    <row r="3" spans="1:24" ht="72.5">
      <c r="A3" s="6" t="s">
        <v>276</v>
      </c>
      <c r="B3" s="6" t="s">
        <v>81</v>
      </c>
      <c r="C3" s="7" t="s">
        <v>77</v>
      </c>
      <c r="D3" s="6" t="s">
        <v>26</v>
      </c>
      <c r="E3" s="6" t="s">
        <v>21</v>
      </c>
      <c r="F3" s="6" t="s">
        <v>22</v>
      </c>
      <c r="G3" s="6" t="s">
        <v>80</v>
      </c>
      <c r="H3" s="6" t="s">
        <v>80</v>
      </c>
      <c r="I3" s="6" t="b">
        <v>0</v>
      </c>
      <c r="J3" s="6" t="s">
        <v>29</v>
      </c>
      <c r="K3" s="8">
        <v>0.05</v>
      </c>
      <c r="L3" s="6" t="s">
        <v>23</v>
      </c>
      <c r="M3" s="8">
        <v>0</v>
      </c>
      <c r="N3" s="9">
        <v>0.05</v>
      </c>
      <c r="O3" s="9">
        <v>0</v>
      </c>
      <c r="P3" s="10">
        <v>0</v>
      </c>
      <c r="Q3" s="6" t="s">
        <v>21</v>
      </c>
      <c r="R3" s="6" t="s">
        <v>82</v>
      </c>
      <c r="S3" s="6" t="s">
        <v>38</v>
      </c>
      <c r="T3" s="6"/>
      <c r="U3" s="11" t="b">
        <v>1</v>
      </c>
      <c r="V3" s="6">
        <v>2</v>
      </c>
      <c r="W3" s="7" t="s">
        <v>83</v>
      </c>
      <c r="X3" s="12" t="str">
        <f>IF($A3="","","{""id"":"""&amp;$A3&amp;""",""name"":"""&amp;$B3&amp;""",""category"":"""&amp;$C3&amp;""",""type"":"""&amp;$D3&amp;""",""source"":"""&amp;$E3&amp;""",""rarity"":"""&amp;$F3&amp;""",""texture"":"""&amp;$G3&amp;""",""icon"":"""&amp;$H3&amp;""",""placeable"":""&amp;IF($I3,""true"",""false"")&amp;"",""effects"":[{""type"":"""&amp;$J3&amp;""",""value"":""&amp;TEXT($K3,""0.##"")&amp;""},{""type"":"""&amp;$L3&amp;""",""value"":""&amp;TEXT($M3,""0.##"")&amp;""}],""unlockType"":"""&amp;$Q3&amp;""",""desc"":"""&amp;$R3&amp;"""}" )</f>
        <v>{"id":"item_cloth_daily_01","name":"休閒裝","category":"equipment","type":"cloth","source":"starter","rarity":"common","texture":"item_cloth_daily_01","icon":"item_cloth_daily_01","placeable":"&amp;IF($I3,"true","false")&amp;","effects":[{"type":"rewardRate","value":"&amp;TEXT($K3,"0.##")&amp;"},{"type":"none","value":"&amp;TEXT($M3,"0.##")&amp;"}],"unlockType":"starter","desc":"舒適的日常衣服"}</v>
      </c>
    </row>
    <row r="4" spans="1:24" ht="72.5">
      <c r="A4" s="6" t="s">
        <v>278</v>
      </c>
      <c r="B4" s="6" t="s">
        <v>84</v>
      </c>
      <c r="C4" s="7" t="s">
        <v>77</v>
      </c>
      <c r="D4" s="6" t="s">
        <v>20</v>
      </c>
      <c r="E4" s="6" t="s">
        <v>51</v>
      </c>
      <c r="F4" s="6" t="s">
        <v>28</v>
      </c>
      <c r="G4" s="6" t="s">
        <v>85</v>
      </c>
      <c r="H4" s="6" t="s">
        <v>86</v>
      </c>
      <c r="I4" s="6" t="b">
        <v>0</v>
      </c>
      <c r="J4" s="6" t="s">
        <v>29</v>
      </c>
      <c r="K4" s="8">
        <v>0.2</v>
      </c>
      <c r="L4" s="6" t="s">
        <v>23</v>
      </c>
      <c r="M4" s="8">
        <v>0</v>
      </c>
      <c r="N4" s="9">
        <v>0.2</v>
      </c>
      <c r="O4" s="9">
        <v>0</v>
      </c>
      <c r="P4" s="10">
        <v>0</v>
      </c>
      <c r="Q4" s="6" t="s">
        <v>30</v>
      </c>
      <c r="R4" s="6" t="s">
        <v>87</v>
      </c>
      <c r="S4" s="6" t="s">
        <v>38</v>
      </c>
      <c r="T4" s="6"/>
      <c r="U4" s="11" t="b">
        <v>1</v>
      </c>
      <c r="V4" s="6">
        <v>3</v>
      </c>
      <c r="W4" s="7" t="s">
        <v>88</v>
      </c>
      <c r="X4" s="12" t="str">
        <f>IF($A4="","","{""id"":"""&amp;$A4&amp;""",""name"":"""&amp;$B4&amp;""",""category"":"""&amp;$C4&amp;""",""type"":"""&amp;$D4&amp;""",""source"":"""&amp;$E4&amp;""",""rarity"":"""&amp;$F4&amp;""",""texture"":"""&amp;$G4&amp;""",""icon"":"""&amp;$H4&amp;""",""placeable"":""&amp;IF($I4,""true"",""false"")&amp;"",""effects"":[{""type"":"""&amp;$J4&amp;""",""value"":""&amp;TEXT($K4,""0.##"")&amp;""},{""type"":"""&amp;$L4&amp;""",""value"":""&amp;TEXT($M4,""0.##"")&amp;""}],""unlockType"":"""&amp;$Q4&amp;""",""desc"":"""&amp;$R4&amp;"""}" )</f>
        <v>{"id":"item_hat_common_tiara","name":"小皇冠","category":"equipment","type":"hat","source":"global","rarity":"rare","texture":"hat_tiara","icon":"icon_hat_tiara","placeable":"&amp;IF($I4,"true","false")&amp;","effects":[{"type":"rewardRate","value":"&amp;TEXT($K4,"0.##")&amp;"},{"type":"none","value":"&amp;TEXT($M4,"0.##")&amp;"}],"unlockType":"drop","desc":"一頂閃亮的小皇冠"}</v>
      </c>
    </row>
    <row r="5" spans="1:24" ht="72.5">
      <c r="A5" s="6" t="s">
        <v>277</v>
      </c>
      <c r="B5" s="6" t="s">
        <v>89</v>
      </c>
      <c r="C5" s="7" t="s">
        <v>77</v>
      </c>
      <c r="D5" s="6" t="s">
        <v>26</v>
      </c>
      <c r="E5" s="6" t="s">
        <v>34</v>
      </c>
      <c r="F5" s="6" t="s">
        <v>28</v>
      </c>
      <c r="G5" s="6" t="s">
        <v>90</v>
      </c>
      <c r="H5" s="6" t="s">
        <v>91</v>
      </c>
      <c r="I5" s="6" t="b">
        <v>0</v>
      </c>
      <c r="J5" s="6" t="s">
        <v>36</v>
      </c>
      <c r="K5" s="8">
        <v>0.15</v>
      </c>
      <c r="L5" s="6" t="s">
        <v>23</v>
      </c>
      <c r="M5" s="8">
        <v>0</v>
      </c>
      <c r="N5" s="9">
        <v>0</v>
      </c>
      <c r="O5" s="9">
        <v>0.15</v>
      </c>
      <c r="P5" s="10">
        <v>0</v>
      </c>
      <c r="Q5" s="6" t="s">
        <v>30</v>
      </c>
      <c r="R5" s="6" t="s">
        <v>92</v>
      </c>
      <c r="S5" s="6" t="s">
        <v>38</v>
      </c>
      <c r="T5" s="6"/>
      <c r="U5" s="11" t="b">
        <v>1</v>
      </c>
      <c r="V5" s="6">
        <v>4</v>
      </c>
      <c r="W5" s="7" t="s">
        <v>93</v>
      </c>
      <c r="X5" s="12" t="str">
        <f>IF($A5="","","{""id"":"""&amp;$A5&amp;""",""name"":"""&amp;$B5&amp;""",""category"":"""&amp;$C5&amp;""",""type"":"""&amp;$D5&amp;""",""source"":"""&amp;$E5&amp;""",""rarity"":"""&amp;$F5&amp;""",""texture"":"""&amp;$G5&amp;""",""icon"":"""&amp;$H5&amp;""",""placeable"":""&amp;IF($I5,""true"",""false"")&amp;"",""effects"":[{""type"":"""&amp;$J5&amp;""",""value"":""&amp;TEXT($K5,""0.##"")&amp;""},{""type"":"""&amp;$L5&amp;""",""value"":""&amp;TEXT($M5,""0.##"")&amp;""}],""unlockType"":"""&amp;$Q5&amp;""",""desc"":"""&amp;$R5&amp;"""}" )</f>
        <v>{"id":"item_cloth_common_fairy","name":"小仙子洋裝","category":"equipment","type":"cloth","source":"firefly","rarity":"rare","texture":"cloth_fairy","icon":"icon_cloth_fairy","placeable":"&amp;IF($I5,"true","false")&amp;","effects":[{"type":"dropRate","value":"&amp;TEXT($K5,"0.##")&amp;"},{"type":"none","value":"&amp;TEXT($M5,"0.##")&amp;"}],"unlockType":"drop","desc":"輕盈可愛的小仙子洋裝"}</v>
      </c>
    </row>
    <row r="6" spans="1:24" ht="72.5">
      <c r="A6" s="6" t="s">
        <v>94</v>
      </c>
      <c r="B6" s="6" t="s">
        <v>95</v>
      </c>
      <c r="C6" s="7" t="s">
        <v>77</v>
      </c>
      <c r="D6" s="6" t="s">
        <v>33</v>
      </c>
      <c r="E6" s="6" t="s">
        <v>21</v>
      </c>
      <c r="F6" s="6" t="s">
        <v>22</v>
      </c>
      <c r="G6" s="6" t="s">
        <v>96</v>
      </c>
      <c r="H6" s="6" t="s">
        <v>97</v>
      </c>
      <c r="I6" s="6" t="b">
        <v>0</v>
      </c>
      <c r="J6" s="6" t="s">
        <v>29</v>
      </c>
      <c r="K6" s="8">
        <v>0.1</v>
      </c>
      <c r="L6" s="6" t="s">
        <v>36</v>
      </c>
      <c r="M6" s="8">
        <v>0.05</v>
      </c>
      <c r="N6" s="9">
        <v>0.1</v>
      </c>
      <c r="O6" s="9">
        <v>0.05</v>
      </c>
      <c r="P6" s="10">
        <v>0</v>
      </c>
      <c r="Q6" s="6" t="s">
        <v>21</v>
      </c>
      <c r="R6" s="6" t="s">
        <v>98</v>
      </c>
      <c r="S6" s="6" t="s">
        <v>38</v>
      </c>
      <c r="T6" s="6"/>
      <c r="U6" s="11" t="b">
        <v>1</v>
      </c>
      <c r="V6" s="6">
        <v>5</v>
      </c>
      <c r="W6" s="7" t="s">
        <v>99</v>
      </c>
      <c r="X6" s="12" t="str">
        <f>IF($A6="","","{""id"":"""&amp;$A6&amp;""",""name"":"""&amp;$B6&amp;""",""category"":"""&amp;$C6&amp;""",""type"":"""&amp;$D6&amp;""",""source"":"""&amp;$E6&amp;""",""rarity"":"""&amp;$F6&amp;""",""texture"":"""&amp;$G6&amp;""",""icon"":"""&amp;$H6&amp;""",""placeable"":""&amp;IF($I6,""true"",""false"")&amp;"",""effects"":[{""type"":"""&amp;$J6&amp;""",""value"":""&amp;TEXT($K6,""0.##"")&amp;""},{""type"":"""&amp;$L6&amp;""",""value"":""&amp;TEXT($M6,""0.##"")&amp;""}],""unlockType"":"""&amp;$Q6&amp;""",""desc"":"""&amp;$R6&amp;"""}" )</f>
        <v>{"id":"item_fullset_pink_home_01","name":"粉色居家服","category":"equipment","type":"fullset","source":"starter","rarity":"common","texture":"fullset_pink_home_01","icon":"icon_fullset_pink_home_01","placeable":"&amp;IF($I6,"true","false")&amp;","effects":[{"type":"rewardRate","value":"&amp;TEXT($K6,"0.##")&amp;"},{"type":"dropRate","value":"&amp;TEXT($M6,"0.##")&amp;"}],"unlockType":"starter","desc":"舒服又可愛的粉色居家服"}</v>
      </c>
    </row>
    <row r="7" spans="1:24" ht="72.5">
      <c r="A7" s="6" t="s">
        <v>100</v>
      </c>
      <c r="B7" s="6" t="s">
        <v>101</v>
      </c>
      <c r="C7" s="7" t="s">
        <v>77</v>
      </c>
      <c r="D7" s="6" t="s">
        <v>20</v>
      </c>
      <c r="E7" s="6" t="s">
        <v>27</v>
      </c>
      <c r="F7" s="6" t="s">
        <v>28</v>
      </c>
      <c r="G7" s="6" t="s">
        <v>102</v>
      </c>
      <c r="H7" s="6" t="s">
        <v>103</v>
      </c>
      <c r="I7" s="6" t="b">
        <v>0</v>
      </c>
      <c r="J7" s="6" t="s">
        <v>42</v>
      </c>
      <c r="K7" s="8">
        <v>1</v>
      </c>
      <c r="L7" s="6" t="s">
        <v>23</v>
      </c>
      <c r="M7" s="8">
        <v>0</v>
      </c>
      <c r="N7" s="9">
        <v>0</v>
      </c>
      <c r="O7" s="9">
        <v>0</v>
      </c>
      <c r="P7" s="10">
        <v>1</v>
      </c>
      <c r="Q7" s="6" t="s">
        <v>30</v>
      </c>
      <c r="R7" s="6" t="s">
        <v>104</v>
      </c>
      <c r="S7" s="6" t="s">
        <v>31</v>
      </c>
      <c r="T7" s="6"/>
      <c r="U7" s="11" t="b">
        <v>1</v>
      </c>
      <c r="V7" s="6">
        <v>6</v>
      </c>
      <c r="W7" s="7" t="s">
        <v>105</v>
      </c>
      <c r="X7" s="12" t="str">
        <f>IF($A7="","","{""id"":"""&amp;$A7&amp;""",""name"":"""&amp;$B7&amp;""",""category"":"""&amp;$C7&amp;""",""type"":"""&amp;$D7&amp;""",""source"":"""&amp;$E7&amp;""",""rarity"":"""&amp;$F7&amp;""",""texture"":"""&amp;$G7&amp;""",""icon"":"""&amp;$H7&amp;""",""placeable"":""&amp;IF($I7,""true"",""false"")&amp;"",""effects"":[{""type"":"""&amp;$J7&amp;""",""value"":""&amp;TEXT($K7,""0.##"")&amp;""},{""type"":"""&amp;$L7&amp;""",""value"":""&amp;TEXT($M7,""0.##"")&amp;""}],""unlockType"":"""&amp;$Q7&amp;""",""desc"":"""&amp;$R7&amp;"""}" )</f>
        <v>{"id":"item_hat_explore_01","name":"探險遮陽帽","category":"equipment","type":"hat","source":"treasure","rarity":"rare","texture":"hat_explorer","icon":"icon_hat_explorer","placeable":"&amp;IF($I7,"true","false")&amp;","effects":[{"type":"extraPlayCount","value":"&amp;TEXT($K7,"0.##")&amp;"},{"type":"none","value":"&amp;TEXT($M7,"0.##")&amp;"}],"unlockType":"drop","desc":"探險時能多一次嘗試機會"}</v>
      </c>
    </row>
    <row r="8" spans="1:24" ht="72.5">
      <c r="A8" s="6" t="s">
        <v>106</v>
      </c>
      <c r="B8" s="6" t="s">
        <v>107</v>
      </c>
      <c r="C8" s="7" t="s">
        <v>77</v>
      </c>
      <c r="D8" s="6" t="s">
        <v>26</v>
      </c>
      <c r="E8" s="6" t="s">
        <v>27</v>
      </c>
      <c r="F8" s="6" t="s">
        <v>28</v>
      </c>
      <c r="G8" s="6" t="s">
        <v>108</v>
      </c>
      <c r="H8" s="6" t="s">
        <v>109</v>
      </c>
      <c r="I8" s="6" t="b">
        <v>0</v>
      </c>
      <c r="J8" s="6" t="s">
        <v>36</v>
      </c>
      <c r="K8" s="8">
        <v>0.1</v>
      </c>
      <c r="L8" s="6" t="s">
        <v>23</v>
      </c>
      <c r="M8" s="8">
        <v>0</v>
      </c>
      <c r="N8" s="9">
        <v>0</v>
      </c>
      <c r="O8" s="9">
        <v>0.1</v>
      </c>
      <c r="P8" s="10">
        <v>0</v>
      </c>
      <c r="Q8" s="6" t="s">
        <v>30</v>
      </c>
      <c r="R8" s="6" t="s">
        <v>110</v>
      </c>
      <c r="S8" s="6" t="s">
        <v>31</v>
      </c>
      <c r="T8" s="6"/>
      <c r="U8" s="11" t="b">
        <v>1</v>
      </c>
      <c r="V8" s="6">
        <v>7</v>
      </c>
      <c r="W8" s="7" t="s">
        <v>111</v>
      </c>
      <c r="X8" s="12" t="str">
        <f>IF($A8="","","{""id"":"""&amp;$A8&amp;""",""name"":"""&amp;$B8&amp;""",""category"":"""&amp;$C8&amp;""",""type"":"""&amp;$D8&amp;""",""source"":"""&amp;$E8&amp;""",""rarity"":"""&amp;$F8&amp;""",""texture"":"""&amp;$G8&amp;""",""icon"":"""&amp;$H8&amp;""",""placeable"":""&amp;IF($I8,""true"",""false"")&amp;"",""effects"":[{""type"":"""&amp;$J8&amp;""",""value"":""&amp;TEXT($K8,""0.##"")&amp;""},{""type"":"""&amp;$L8&amp;""",""value"":""&amp;TEXT($M8,""0.##"")&amp;""}],""unlockType"":"""&amp;$Q8&amp;""",""desc"":"""&amp;$R8&amp;"""}" )</f>
        <v>{"id":"item_cloth_explore_01","name":"多口袋背心","category":"equipment","type":"cloth","source":"treasure","rarity":"rare","texture":"cloth_explorer","icon":"icon_cloth_explorer","placeable":"&amp;IF($I8,"true","false")&amp;","effects":[{"type":"dropRate","value":"&amp;TEXT($K8,"0.##")&amp;"},{"type":"none","value":"&amp;TEXT($M8,"0.##")&amp;"}],"unlockType":"drop","desc":"身上掛滿各種探險口袋"}</v>
      </c>
    </row>
    <row r="9" spans="1:24" ht="72.5">
      <c r="A9" s="6" t="s">
        <v>112</v>
      </c>
      <c r="B9" s="6" t="s">
        <v>113</v>
      </c>
      <c r="C9" s="7" t="s">
        <v>77</v>
      </c>
      <c r="D9" s="6" t="s">
        <v>33</v>
      </c>
      <c r="E9" s="6" t="s">
        <v>27</v>
      </c>
      <c r="F9" s="6" t="s">
        <v>28</v>
      </c>
      <c r="G9" s="6" t="s">
        <v>114</v>
      </c>
      <c r="H9" s="6" t="s">
        <v>115</v>
      </c>
      <c r="I9" s="6" t="b">
        <v>0</v>
      </c>
      <c r="J9" s="6" t="s">
        <v>46</v>
      </c>
      <c r="K9" s="8">
        <v>1</v>
      </c>
      <c r="L9" s="6" t="s">
        <v>23</v>
      </c>
      <c r="M9" s="8">
        <v>0</v>
      </c>
      <c r="N9" s="9">
        <v>0</v>
      </c>
      <c r="O9" s="9">
        <v>0</v>
      </c>
      <c r="P9" s="10">
        <v>0</v>
      </c>
      <c r="Q9" s="6" t="s">
        <v>30</v>
      </c>
      <c r="R9" s="6" t="s">
        <v>116</v>
      </c>
      <c r="S9" s="6" t="s">
        <v>31</v>
      </c>
      <c r="T9" s="6"/>
      <c r="U9" s="11" t="b">
        <v>1</v>
      </c>
      <c r="V9" s="6">
        <v>8</v>
      </c>
      <c r="W9" s="7" t="s">
        <v>117</v>
      </c>
      <c r="X9" s="12" t="str">
        <f>IF($A9="","","{""id"":"""&amp;$A9&amp;""",""name"":"""&amp;$B9&amp;""",""category"":"""&amp;$C9&amp;""",""type"":"""&amp;$D9&amp;""",""source"":"""&amp;$E9&amp;""",""rarity"":"""&amp;$F9&amp;""",""texture"":"""&amp;$G9&amp;""",""icon"":"""&amp;$H9&amp;""",""placeable"":""&amp;IF($I9,""true"",""false"")&amp;"",""effects"":[{""type"":"""&amp;$J9&amp;""",""value"":""&amp;TEXT($K9,""0.##"")&amp;""},{""type"":"""&amp;$L9&amp;""",""value"":""&amp;TEXT($M9,""0.##"")&amp;""}],""unlockType"":"""&amp;$Q9&amp;""",""desc"":"""&amp;$R9&amp;"""}" )</f>
        <v>{"id":"item_fullset_explore_01","name":"野外小偵查","category":"equipment","type":"fullset","source":"treasure","rarity":"rare","texture":"fullset_explorer","icon":"icon_fullset_explorer","placeable":"&amp;IF($I9,"true","false")&amp;","effects":[{"type":"revealHint","value":"&amp;TEXT($K9,"0.##")&amp;"},{"type":"none","value":"&amp;TEXT($M9,"0.##")&amp;"}],"unlockType":"drop","desc":"一件充滿探險味道的衣服"}</v>
      </c>
    </row>
    <row r="10" spans="1:24" ht="72.5">
      <c r="A10" s="6" t="s">
        <v>118</v>
      </c>
      <c r="B10" s="6" t="s">
        <v>119</v>
      </c>
      <c r="C10" s="7" t="s">
        <v>39</v>
      </c>
      <c r="D10" s="6" t="s">
        <v>39</v>
      </c>
      <c r="E10" s="6" t="s">
        <v>27</v>
      </c>
      <c r="F10" s="6" t="s">
        <v>28</v>
      </c>
      <c r="G10" s="6" t="s">
        <v>120</v>
      </c>
      <c r="H10" s="6" t="s">
        <v>121</v>
      </c>
      <c r="I10" s="6" t="b">
        <v>0</v>
      </c>
      <c r="J10" s="6" t="s">
        <v>49</v>
      </c>
      <c r="K10" s="8">
        <v>0.05</v>
      </c>
      <c r="L10" s="6" t="s">
        <v>23</v>
      </c>
      <c r="M10" s="8">
        <v>0</v>
      </c>
      <c r="N10" s="9">
        <v>0</v>
      </c>
      <c r="O10" s="9">
        <v>0</v>
      </c>
      <c r="P10" s="10">
        <v>0</v>
      </c>
      <c r="Q10" s="6" t="s">
        <v>30</v>
      </c>
      <c r="R10" s="6" t="s">
        <v>122</v>
      </c>
      <c r="S10" s="6" t="s">
        <v>31</v>
      </c>
      <c r="T10" s="6"/>
      <c r="U10" s="11" t="b">
        <v>1</v>
      </c>
      <c r="V10" s="6">
        <v>9</v>
      </c>
      <c r="W10" s="7" t="s">
        <v>123</v>
      </c>
      <c r="X10" s="12" t="str">
        <f>IF($A10="","","{""id"":"""&amp;$A10&amp;""",""name"":"""&amp;$B10&amp;""",""category"":"""&amp;$C10&amp;""",""type"":"""&amp;$D10&amp;""",""source"":"""&amp;$E10&amp;""",""rarity"":"""&amp;$F10&amp;""",""texture"":"""&amp;$G10&amp;""",""icon"":"""&amp;$H10&amp;""",""placeable"":""&amp;IF($I10,""true"",""false"")&amp;"",""effects"":[{""type"":"""&amp;$J10&amp;""",""value"":""&amp;TEXT($K10,""0.##"")&amp;""},{""type"":"""&amp;$L10&amp;""",""value"":""&amp;TEXT($M10,""0.##"")&amp;""}],""unlockType"":"""&amp;$Q10&amp;""",""desc"":"""&amp;$R10&amp;"""}" )</f>
        <v>{"id":"item_tool_explore_01","name":"高能放大鏡","category":"tool","type":"tool","source":"treasure","rarity":"rare","texture":"tool_magnifier","icon":"icon_magnifier","placeable":"&amp;IF($I10,"true","false")&amp;","effects":[{"type":"rareDropRate","value":"&amp;TEXT($K10,"0.##")&amp;"},{"type":"none","value":"&amp;TEXT($M10,"0.##")&amp;"}],"unlockType":"drop","desc":"讓寶藏的細節變得更明顯"}</v>
      </c>
    </row>
    <row r="11" spans="1:24" ht="72.5">
      <c r="A11" s="6" t="s">
        <v>124</v>
      </c>
      <c r="B11" s="6" t="s">
        <v>125</v>
      </c>
      <c r="C11" s="7" t="s">
        <v>77</v>
      </c>
      <c r="D11" s="6" t="s">
        <v>20</v>
      </c>
      <c r="E11" s="6" t="s">
        <v>34</v>
      </c>
      <c r="F11" s="6" t="s">
        <v>28</v>
      </c>
      <c r="G11" s="6" t="s">
        <v>126</v>
      </c>
      <c r="H11" s="6" t="s">
        <v>127</v>
      </c>
      <c r="I11" s="6" t="b">
        <v>0</v>
      </c>
      <c r="J11" s="6" t="s">
        <v>52</v>
      </c>
      <c r="K11" s="8">
        <v>3</v>
      </c>
      <c r="L11" s="6" t="s">
        <v>23</v>
      </c>
      <c r="M11" s="8">
        <v>0</v>
      </c>
      <c r="N11" s="9">
        <v>0</v>
      </c>
      <c r="O11" s="9">
        <v>0</v>
      </c>
      <c r="P11" s="10">
        <v>0</v>
      </c>
      <c r="Q11" s="6" t="s">
        <v>30</v>
      </c>
      <c r="R11" s="6" t="s">
        <v>128</v>
      </c>
      <c r="S11" s="6" t="s">
        <v>31</v>
      </c>
      <c r="T11" s="6"/>
      <c r="U11" s="11" t="b">
        <v>1</v>
      </c>
      <c r="V11" s="6">
        <v>10</v>
      </c>
      <c r="W11" s="7" t="s">
        <v>129</v>
      </c>
      <c r="X11" s="12" t="str">
        <f>IF($A11="","","{""id"":"""&amp;$A11&amp;""",""name"":"""&amp;$B11&amp;""",""category"":"""&amp;$C11&amp;""",""type"":"""&amp;$D11&amp;""",""source"":"""&amp;$E11&amp;""",""rarity"":"""&amp;$F11&amp;""",""texture"":"""&amp;$G11&amp;""",""icon"":"""&amp;$H11&amp;""",""placeable"":""&amp;IF($I11,""true"",""false"")&amp;"",""effects"":[{""type"":"""&amp;$J11&amp;""",""value"":""&amp;TEXT($K11,""0.##"")&amp;""},{""type"":"""&amp;$L11&amp;""",""value"":""&amp;TEXT($M11,""0.##"")&amp;""}],""unlockType"":"""&amp;$Q11&amp;""",""desc"":"""&amp;$R11&amp;"""}" )</f>
        <v>{"id":"item_hat_firefly_01","name":"螢光小帽","category":"equipment","type":"hat","source":"firefly","rarity":"rare","texture":"hat_firefly","icon":"icon_hat_firefly","placeable":"&amp;IF($I11,"true","false")&amp;","effects":[{"type":"timeBonus","value":"&amp;TEXT($K11,"0.##")&amp;"},{"type":"none","value":"&amp;TEXT($M11,"0.##")&amp;"}],"unlockType":"drop","desc":"夜晚的螢光會停留得更久"}</v>
      </c>
    </row>
    <row r="12" spans="1:24" ht="72.5">
      <c r="A12" s="6" t="s">
        <v>130</v>
      </c>
      <c r="B12" s="6" t="s">
        <v>131</v>
      </c>
      <c r="C12" s="7" t="s">
        <v>77</v>
      </c>
      <c r="D12" s="6" t="s">
        <v>26</v>
      </c>
      <c r="E12" s="6" t="s">
        <v>34</v>
      </c>
      <c r="F12" s="6" t="s">
        <v>28</v>
      </c>
      <c r="G12" s="6" t="s">
        <v>132</v>
      </c>
      <c r="H12" s="6" t="s">
        <v>133</v>
      </c>
      <c r="I12" s="6" t="b">
        <v>0</v>
      </c>
      <c r="J12" s="6" t="s">
        <v>29</v>
      </c>
      <c r="K12" s="8">
        <v>0.15</v>
      </c>
      <c r="L12" s="6" t="s">
        <v>23</v>
      </c>
      <c r="M12" s="8">
        <v>0</v>
      </c>
      <c r="N12" s="9">
        <v>0.15</v>
      </c>
      <c r="O12" s="9">
        <v>0</v>
      </c>
      <c r="P12" s="10">
        <v>0</v>
      </c>
      <c r="Q12" s="6" t="s">
        <v>30</v>
      </c>
      <c r="R12" s="6" t="s">
        <v>134</v>
      </c>
      <c r="S12" s="6" t="s">
        <v>31</v>
      </c>
      <c r="T12" s="6"/>
      <c r="U12" s="11" t="b">
        <v>1</v>
      </c>
      <c r="V12" s="6">
        <v>11</v>
      </c>
      <c r="W12" s="7" t="s">
        <v>135</v>
      </c>
      <c r="X12" s="12" t="str">
        <f>IF($A12="","","{""id"":"""&amp;$A12&amp;""",""name"":"""&amp;$B12&amp;""",""category"":"""&amp;$C12&amp;""",""type"":"""&amp;$D12&amp;""",""source"":"""&amp;$E12&amp;""",""rarity"":"""&amp;$F12&amp;""",""texture"":"""&amp;$G12&amp;""",""icon"":"""&amp;$H12&amp;""",""placeable"":""&amp;IF($I12,""true"",""false"")&amp;"",""effects"":[{""type"":"""&amp;$J12&amp;""",""value"":""&amp;TEXT($K12,""0.##"")&amp;""},{""type"":"""&amp;$L12&amp;""",""value"":""&amp;TEXT($M12,""0.##"")&amp;""}],""unlockType"":"""&amp;$Q12&amp;""",""desc"":"""&amp;$R12&amp;"""}" )</f>
        <v>{"id":"item_cloth_firefly_01","name":"發光小背心","category":"equipment","type":"cloth","source":"firefly","rarity":"rare","texture":"cloth_firefly","icon":"icon_cloth_firefly","placeable":"&amp;IF($I12,"true","false")&amp;","effects":[{"type":"rewardRate","value":"&amp;TEXT($K12,"0.##")&amp;"},{"type":"none","value":"&amp;TEXT($M12,"0.##")&amp;"}],"unlockType":"drop","desc":"微微發光的小背心"}</v>
      </c>
    </row>
    <row r="13" spans="1:24" ht="72.5">
      <c r="A13" s="6" t="s">
        <v>136</v>
      </c>
      <c r="B13" s="6" t="s">
        <v>137</v>
      </c>
      <c r="C13" s="7" t="s">
        <v>77</v>
      </c>
      <c r="D13" s="6" t="s">
        <v>33</v>
      </c>
      <c r="E13" s="6" t="s">
        <v>34</v>
      </c>
      <c r="F13" s="6" t="s">
        <v>28</v>
      </c>
      <c r="G13" s="6" t="s">
        <v>138</v>
      </c>
      <c r="H13" s="6" t="s">
        <v>139</v>
      </c>
      <c r="I13" s="6" t="b">
        <v>0</v>
      </c>
      <c r="J13" s="6" t="s">
        <v>54</v>
      </c>
      <c r="K13" s="8">
        <v>1</v>
      </c>
      <c r="L13" s="6" t="s">
        <v>23</v>
      </c>
      <c r="M13" s="8">
        <v>0</v>
      </c>
      <c r="N13" s="9">
        <v>0</v>
      </c>
      <c r="O13" s="9">
        <v>0</v>
      </c>
      <c r="P13" s="10">
        <v>0</v>
      </c>
      <c r="Q13" s="6" t="s">
        <v>30</v>
      </c>
      <c r="R13" s="6" t="s">
        <v>140</v>
      </c>
      <c r="S13" s="6" t="s">
        <v>31</v>
      </c>
      <c r="T13" s="6"/>
      <c r="U13" s="11" t="b">
        <v>1</v>
      </c>
      <c r="V13" s="6">
        <v>12</v>
      </c>
      <c r="W13" s="7" t="s">
        <v>141</v>
      </c>
      <c r="X13" s="12" t="str">
        <f>IF($A13="","","{""id"":"""&amp;$A13&amp;""",""name"":"""&amp;$B13&amp;""",""category"":"""&amp;$C13&amp;""",""type"":"""&amp;$D13&amp;""",""source"":"""&amp;$E13&amp;""",""rarity"":"""&amp;$F13&amp;""",""texture"":"""&amp;$G13&amp;""",""icon"":"""&amp;$H13&amp;""",""placeable"":""&amp;IF($I13,""true"",""false"")&amp;"",""effects"":[{""type"":"""&amp;$J13&amp;""",""value"":""&amp;TEXT($K13,""0.##"")&amp;""},{""type"":"""&amp;$L13&amp;""",""value"":""&amp;TEXT($M13,""0.##"")&amp;""}],""unlockType"":"""&amp;$Q13&amp;""",""desc"":"""&amp;$R13&amp;"""}" )</f>
        <v>{"id":"item_fullset_firefly_01","name":"森林精靈服","category":"equipment","type":"fullset","source":"firefly","rarity":"rare","texture":"fullset_firefly","icon":"icon_fullset_firefly","placeable":"&amp;IF($I13,"true","false")&amp;","effects":[{"type":"extraMistake","value":"&amp;TEXT($K13,"0.##")&amp;"},{"type":"none","value":"&amp;TEXT($M13,"0.##")&amp;"}],"unlockType":"drop","desc":"帶有森林魔法的精靈服"}</v>
      </c>
    </row>
    <row r="14" spans="1:24" ht="72.5">
      <c r="A14" s="6" t="s">
        <v>142</v>
      </c>
      <c r="B14" s="6" t="s">
        <v>143</v>
      </c>
      <c r="C14" s="7" t="s">
        <v>39</v>
      </c>
      <c r="D14" s="6" t="s">
        <v>39</v>
      </c>
      <c r="E14" s="6" t="s">
        <v>34</v>
      </c>
      <c r="F14" s="6" t="s">
        <v>28</v>
      </c>
      <c r="G14" s="6" t="s">
        <v>144</v>
      </c>
      <c r="H14" s="6" t="s">
        <v>145</v>
      </c>
      <c r="I14" s="6" t="b">
        <v>0</v>
      </c>
      <c r="J14" s="6" t="s">
        <v>55</v>
      </c>
      <c r="K14" s="8">
        <v>0.1</v>
      </c>
      <c r="L14" s="6" t="s">
        <v>23</v>
      </c>
      <c r="M14" s="8">
        <v>0</v>
      </c>
      <c r="N14" s="9">
        <v>0</v>
      </c>
      <c r="O14" s="9">
        <v>0</v>
      </c>
      <c r="P14" s="10">
        <v>0</v>
      </c>
      <c r="Q14" s="6" t="s">
        <v>30</v>
      </c>
      <c r="R14" s="6" t="s">
        <v>146</v>
      </c>
      <c r="S14" s="6" t="s">
        <v>31</v>
      </c>
      <c r="T14" s="6"/>
      <c r="U14" s="11" t="b">
        <v>1</v>
      </c>
      <c r="V14" s="6">
        <v>13</v>
      </c>
      <c r="W14" s="7" t="s">
        <v>147</v>
      </c>
      <c r="X14" s="12" t="str">
        <f>IF($A14="","","{""id"":"""&amp;$A14&amp;""",""name"":"""&amp;$B14&amp;""",""category"":"""&amp;$C14&amp;""",""type"":"""&amp;$D14&amp;""",""source"":"""&amp;$E14&amp;""",""rarity"":"""&amp;$F14&amp;""",""texture"":"""&amp;$G14&amp;""",""icon"":"""&amp;$H14&amp;""",""placeable"":""&amp;IF($I14,""true"",""false"")&amp;"",""effects"":[{""type"":"""&amp;$J14&amp;""",""value"":""&amp;TEXT($K14,""0.##"")&amp;""},{""type"":"""&amp;$L14&amp;""",""value"":""&amp;TEXT($M14,""0.##"")&amp;""}],""unlockType"":"""&amp;$Q14&amp;""",""desc"":"""&amp;$R14&amp;"""}" )</f>
        <v>{"id":"item_tool_firefly_01","name":"許願玻璃瓶","category":"tool","type":"tool","source":"firefly","rarity":"rare","texture":"tool_firefly_jar","icon":"icon_firefly_jar","placeable":"&amp;IF($I14,"true","false")&amp;","effects":[{"type":"chestRate","value":"&amp;TEXT($K14,"0.##")&amp;"},{"type":"none","value":"&amp;TEXT($M14,"0.##")&amp;"}],"unlockType":"drop","desc":"裝滿螢火蟲的玻璃瓶"}</v>
      </c>
    </row>
    <row r="15" spans="1:24" ht="72.5">
      <c r="A15" s="6" t="s">
        <v>148</v>
      </c>
      <c r="B15" s="6" t="s">
        <v>149</v>
      </c>
      <c r="C15" s="7" t="s">
        <v>77</v>
      </c>
      <c r="D15" s="6" t="s">
        <v>20</v>
      </c>
      <c r="E15" s="6" t="s">
        <v>40</v>
      </c>
      <c r="F15" s="6" t="s">
        <v>28</v>
      </c>
      <c r="G15" s="6" t="s">
        <v>150</v>
      </c>
      <c r="H15" s="6" t="s">
        <v>151</v>
      </c>
      <c r="I15" s="6" t="b">
        <v>0</v>
      </c>
      <c r="J15" s="6" t="s">
        <v>52</v>
      </c>
      <c r="K15" s="8">
        <v>3</v>
      </c>
      <c r="L15" s="6" t="s">
        <v>23</v>
      </c>
      <c r="M15" s="8">
        <v>0</v>
      </c>
      <c r="N15" s="9">
        <v>0</v>
      </c>
      <c r="O15" s="9">
        <v>0</v>
      </c>
      <c r="P15" s="10">
        <v>0</v>
      </c>
      <c r="Q15" s="6" t="s">
        <v>30</v>
      </c>
      <c r="R15" s="6" t="s">
        <v>152</v>
      </c>
      <c r="S15" s="6" t="s">
        <v>31</v>
      </c>
      <c r="T15" s="6"/>
      <c r="U15" s="11" t="b">
        <v>1</v>
      </c>
      <c r="V15" s="6">
        <v>14</v>
      </c>
      <c r="W15" s="7" t="s">
        <v>153</v>
      </c>
      <c r="X15" s="12" t="str">
        <f>IF($A15="","","{""id"":"""&amp;$A15&amp;""",""name"":"""&amp;$B15&amp;""",""category"":"""&amp;$C15&amp;""",""type"":"""&amp;$D15&amp;""",""source"":"""&amp;$E15&amp;""",""rarity"":"""&amp;$F15&amp;""",""texture"":"""&amp;$G15&amp;""",""icon"":"""&amp;$H15&amp;""",""placeable"":""&amp;IF($I15,""true"",""false"")&amp;"",""effects"":[{""type"":"""&amp;$J15&amp;""",""value"":""&amp;TEXT($K15,""0.##"")&amp;""},{""type"":"""&amp;$L15&amp;""",""value"":""&amp;TEXT($M15,""0.##"")&amp;""}],""unlockType"":"""&amp;$Q15&amp;""",""desc"":"""&amp;$R15&amp;"""}" )</f>
        <v>{"id":"item_hat_campfire_01","name":"火焰廚師帽","category":"equipment","type":"hat","source":"campfire","rarity":"rare","texture":"hat_cook","icon":"icon_hat_cook","placeable":"&amp;IF($I15,"true","false")&amp;","effects":[{"type":"timeBonus","value":"&amp;TEXT($K15,"0.##")&amp;"},{"type":"none","value":"&amp;TEXT($M15,"0.##")&amp;"}],"unlockType":"drop","desc":"營火料理專用廚師帽"}</v>
      </c>
    </row>
    <row r="16" spans="1:24" ht="72.5">
      <c r="A16" s="6" t="s">
        <v>154</v>
      </c>
      <c r="B16" s="6" t="s">
        <v>155</v>
      </c>
      <c r="C16" s="7" t="s">
        <v>77</v>
      </c>
      <c r="D16" s="6" t="s">
        <v>26</v>
      </c>
      <c r="E16" s="6" t="s">
        <v>40</v>
      </c>
      <c r="F16" s="6" t="s">
        <v>28</v>
      </c>
      <c r="G16" s="6" t="s">
        <v>156</v>
      </c>
      <c r="H16" s="6" t="s">
        <v>157</v>
      </c>
      <c r="I16" s="6" t="b">
        <v>0</v>
      </c>
      <c r="J16" s="6" t="s">
        <v>29</v>
      </c>
      <c r="K16" s="8">
        <v>0.2</v>
      </c>
      <c r="L16" s="6" t="s">
        <v>23</v>
      </c>
      <c r="M16" s="8">
        <v>0</v>
      </c>
      <c r="N16" s="9">
        <v>0.2</v>
      </c>
      <c r="O16" s="9">
        <v>0</v>
      </c>
      <c r="P16" s="10">
        <v>0</v>
      </c>
      <c r="Q16" s="6" t="s">
        <v>30</v>
      </c>
      <c r="R16" s="6" t="s">
        <v>158</v>
      </c>
      <c r="S16" s="6" t="s">
        <v>31</v>
      </c>
      <c r="T16" s="6"/>
      <c r="U16" s="11" t="b">
        <v>1</v>
      </c>
      <c r="V16" s="6">
        <v>15</v>
      </c>
      <c r="W16" s="7" t="s">
        <v>159</v>
      </c>
      <c r="X16" s="12" t="str">
        <f>IF($A16="","","{""id"":"""&amp;$A16&amp;""",""name"":"""&amp;$B16&amp;""",""category"":"""&amp;$C16&amp;""",""type"":"""&amp;$D16&amp;""",""source"":"""&amp;$E16&amp;""",""rarity"":"""&amp;$F16&amp;""",""texture"":"""&amp;$G16&amp;""",""icon"":"""&amp;$H16&amp;""",""placeable"":""&amp;IF($I16,""true"",""false"")&amp;"",""effects"":[{""type"":"""&amp;$J16&amp;""",""value"":""&amp;TEXT($K16,""0.##"")&amp;""},{""type"":"""&amp;$L16&amp;""",""value"":""&amp;TEXT($M16,""0.##"")&amp;""}],""unlockType"":"""&amp;$Q16&amp;""",""desc"":"""&amp;$R16&amp;"""}" )</f>
        <v>{"id":"item_cloth_campfire_01","name":"美味圍裙","category":"equipment","type":"cloth","source":"campfire","rarity":"rare","texture":"cloth_cook","icon":"icon_cloth_cook","placeable":"&amp;IF($I16,"true","false")&amp;","effects":[{"type":"rewardRate","value":"&amp;TEXT($K16,"0.##")&amp;"},{"type":"none","value":"&amp;TEXT($M16,"0.##")&amp;"}],"unlockType":"drop","desc":"料理時的必備圍裙"}</v>
      </c>
    </row>
    <row r="17" spans="1:24" ht="72.5">
      <c r="A17" s="6" t="s">
        <v>160</v>
      </c>
      <c r="B17" s="6" t="s">
        <v>161</v>
      </c>
      <c r="C17" s="7" t="s">
        <v>77</v>
      </c>
      <c r="D17" s="6" t="s">
        <v>33</v>
      </c>
      <c r="E17" s="6" t="s">
        <v>40</v>
      </c>
      <c r="F17" s="6" t="s">
        <v>28</v>
      </c>
      <c r="G17" s="6" t="s">
        <v>162</v>
      </c>
      <c r="H17" s="6" t="s">
        <v>163</v>
      </c>
      <c r="I17" s="6" t="b">
        <v>0</v>
      </c>
      <c r="J17" s="6" t="s">
        <v>54</v>
      </c>
      <c r="K17" s="8">
        <v>1</v>
      </c>
      <c r="L17" s="6" t="s">
        <v>23</v>
      </c>
      <c r="M17" s="8">
        <v>0</v>
      </c>
      <c r="N17" s="9">
        <v>0</v>
      </c>
      <c r="O17" s="9">
        <v>0</v>
      </c>
      <c r="P17" s="10">
        <v>0</v>
      </c>
      <c r="Q17" s="6" t="s">
        <v>30</v>
      </c>
      <c r="R17" s="6" t="s">
        <v>164</v>
      </c>
      <c r="S17" s="6" t="s">
        <v>31</v>
      </c>
      <c r="T17" s="6"/>
      <c r="U17" s="11" t="b">
        <v>1</v>
      </c>
      <c r="V17" s="6">
        <v>16</v>
      </c>
      <c r="W17" s="7" t="s">
        <v>165</v>
      </c>
      <c r="X17" s="12" t="str">
        <f>IF($A17="","","{""id"":"""&amp;$A17&amp;""",""name"":"""&amp;$B17&amp;""",""category"":"""&amp;$C17&amp;""",""type"":"""&amp;$D17&amp;""",""source"":"""&amp;$E17&amp;""",""rarity"":"""&amp;$F17&amp;""",""texture"":"""&amp;$G17&amp;""",""icon"":"""&amp;$H17&amp;""",""placeable"":""&amp;IF($I17,""true"",""false"")&amp;"",""effects"":[{""type"":"""&amp;$J17&amp;""",""value"":""&amp;TEXT($K17,""0.##"")&amp;""},{""type"":"""&amp;$L17&amp;""",""value"":""&amp;TEXT($M17,""0.##"")&amp;""}],""unlockType"":"""&amp;$Q17&amp;""",""desc"":"""&amp;$R17&amp;"""}" )</f>
        <v>{"id":"item_fullset_campfire_01","name":"三星大廚袍","category":"equipment","type":"fullset","source":"campfire","rarity":"rare","texture":"fullset_cook","icon":"icon_fullset_cook","placeable":"&amp;IF($I17,"true","false")&amp;","effects":[{"type":"extraMistake","value":"&amp;TEXT($K17,"0.##")&amp;"},{"type":"none","value":"&amp;TEXT($M17,"0.##")&amp;"}],"unlockType":"drop","desc":"穿上就像營火料理大師"}</v>
      </c>
    </row>
    <row r="18" spans="1:24" ht="72.5">
      <c r="A18" s="6" t="s">
        <v>166</v>
      </c>
      <c r="B18" s="6" t="s">
        <v>167</v>
      </c>
      <c r="C18" s="7" t="s">
        <v>39</v>
      </c>
      <c r="D18" s="6" t="s">
        <v>39</v>
      </c>
      <c r="E18" s="6" t="s">
        <v>40</v>
      </c>
      <c r="F18" s="6" t="s">
        <v>28</v>
      </c>
      <c r="G18" s="6" t="s">
        <v>168</v>
      </c>
      <c r="H18" s="6" t="s">
        <v>169</v>
      </c>
      <c r="I18" s="6" t="b">
        <v>0</v>
      </c>
      <c r="J18" s="6" t="s">
        <v>55</v>
      </c>
      <c r="K18" s="8">
        <v>0.1</v>
      </c>
      <c r="L18" s="6" t="s">
        <v>23</v>
      </c>
      <c r="M18" s="8">
        <v>0</v>
      </c>
      <c r="N18" s="9">
        <v>0</v>
      </c>
      <c r="O18" s="9">
        <v>0</v>
      </c>
      <c r="P18" s="10">
        <v>0</v>
      </c>
      <c r="Q18" s="6" t="s">
        <v>30</v>
      </c>
      <c r="R18" s="6" t="s">
        <v>170</v>
      </c>
      <c r="S18" s="6" t="s">
        <v>31</v>
      </c>
      <c r="T18" s="6"/>
      <c r="U18" s="11" t="b">
        <v>1</v>
      </c>
      <c r="V18" s="6">
        <v>17</v>
      </c>
      <c r="W18" s="7" t="s">
        <v>171</v>
      </c>
      <c r="X18" s="12" t="str">
        <f>IF($A18="","","{""id"":"""&amp;$A18&amp;""",""name"":"""&amp;$B18&amp;""",""category"":"""&amp;$C18&amp;""",""type"":"""&amp;$D18&amp;""",""source"":"""&amp;$E18&amp;""",""rarity"":"""&amp;$F18&amp;""",""texture"":"""&amp;$G18&amp;""",""icon"":"""&amp;$H18&amp;""",""placeable"":""&amp;IF($I18,""true"",""false"")&amp;"",""effects"":[{""type"":"""&amp;$J18&amp;""",""value"":""&amp;TEXT($K18,""0.##"")&amp;""},{""type"":"""&amp;$L18&amp;""",""value"":""&amp;TEXT($M18,""0.##"")&amp;""}],""unlockType"":"""&amp;$Q18&amp;""",""desc"":"""&amp;$R18&amp;"""}" )</f>
        <v>{"id":"item_tool_campfire_01","name":"黃金烤肉夾","category":"tool","type":"tool","source":"campfire","rarity":"rare","texture":"tool_tongs","icon":"icon_tongs","placeable":"&amp;IF($I18,"true","false")&amp;","effects":[{"type":"chestRate","value":"&amp;TEXT($K18,"0.##")&amp;"},{"type":"none","value":"&amp;TEXT($M18,"0.##")&amp;"}],"unlockType":"drop","desc":"傳說中不會烤焦食物的夾子"}</v>
      </c>
    </row>
    <row r="19" spans="1:24" ht="72.5">
      <c r="A19" s="6" t="s">
        <v>172</v>
      </c>
      <c r="B19" s="6" t="s">
        <v>173</v>
      </c>
      <c r="C19" s="7" t="s">
        <v>77</v>
      </c>
      <c r="D19" s="6" t="s">
        <v>20</v>
      </c>
      <c r="E19" s="6" t="s">
        <v>45</v>
      </c>
      <c r="F19" s="6" t="s">
        <v>28</v>
      </c>
      <c r="G19" s="6" t="s">
        <v>174</v>
      </c>
      <c r="H19" s="6" t="s">
        <v>175</v>
      </c>
      <c r="I19" s="6" t="b">
        <v>0</v>
      </c>
      <c r="J19" s="6" t="s">
        <v>56</v>
      </c>
      <c r="K19" s="8">
        <v>1</v>
      </c>
      <c r="L19" s="6" t="s">
        <v>23</v>
      </c>
      <c r="M19" s="8">
        <v>0</v>
      </c>
      <c r="N19" s="9">
        <v>0</v>
      </c>
      <c r="O19" s="9">
        <v>0</v>
      </c>
      <c r="P19" s="10">
        <v>0</v>
      </c>
      <c r="Q19" s="6" t="s">
        <v>30</v>
      </c>
      <c r="R19" s="6" t="s">
        <v>176</v>
      </c>
      <c r="S19" s="6" t="s">
        <v>31</v>
      </c>
      <c r="T19" s="6"/>
      <c r="U19" s="11" t="b">
        <v>1</v>
      </c>
      <c r="V19" s="6">
        <v>18</v>
      </c>
      <c r="W19" s="7" t="s">
        <v>177</v>
      </c>
      <c r="X19" s="12" t="str">
        <f>IF($A19="","","{""id"":"""&amp;$A19&amp;""",""name"":"""&amp;$B19&amp;""",""category"":"""&amp;$C19&amp;""",""type"":"""&amp;$D19&amp;""",""source"":"""&amp;$E19&amp;""",""rarity"":"""&amp;$F19&amp;""",""texture"":"""&amp;$G19&amp;""",""icon"":"""&amp;$H19&amp;""",""placeable"":""&amp;IF($I19,""true"",""false"")&amp;"",""effects"":[{""type"":"""&amp;$J19&amp;""",""value"":""&amp;TEXT($K19,""0.##"")&amp;""},{""type"":"""&amp;$L19&amp;""",""value"":""&amp;TEXT($M19,""0.##"")&amp;""}],""unlockType"":"""&amp;$Q19&amp;""",""desc"":"""&amp;$R19&amp;"""}" )</f>
        <v>{"id":"item_hat_constellation_01","name":"星辰魔法帽","category":"equipment","type":"hat","source":"constellation","rarity":"rare","texture":"hat_constellation","icon":"icon_hat_constellation","placeable":"&amp;IF($I19,"true","false")&amp;","effects":[{"type":"memoryHelp","value":"&amp;TEXT($K19,"0.##")&amp;"},{"type":"none","value":"&amp;TEXT($M19,"0.##")&amp;"}],"unlockType":"drop","desc":"讓星星連線變得更清楚"}</v>
      </c>
    </row>
    <row r="20" spans="1:24" ht="72.5">
      <c r="A20" s="6" t="s">
        <v>178</v>
      </c>
      <c r="B20" s="6" t="s">
        <v>273</v>
      </c>
      <c r="C20" s="7" t="s">
        <v>77</v>
      </c>
      <c r="D20" s="6" t="s">
        <v>26</v>
      </c>
      <c r="E20" s="6" t="s">
        <v>45</v>
      </c>
      <c r="F20" s="6" t="s">
        <v>28</v>
      </c>
      <c r="G20" s="6" t="s">
        <v>179</v>
      </c>
      <c r="H20" s="6" t="s">
        <v>180</v>
      </c>
      <c r="I20" s="6" t="b">
        <v>0</v>
      </c>
      <c r="J20" s="6" t="s">
        <v>29</v>
      </c>
      <c r="K20" s="8">
        <v>0.15</v>
      </c>
      <c r="L20" s="6" t="s">
        <v>23</v>
      </c>
      <c r="M20" s="8">
        <v>0</v>
      </c>
      <c r="N20" s="9">
        <v>0.15</v>
      </c>
      <c r="O20" s="9">
        <v>0</v>
      </c>
      <c r="P20" s="10">
        <v>0</v>
      </c>
      <c r="Q20" s="6" t="s">
        <v>30</v>
      </c>
      <c r="R20" s="6" t="s">
        <v>181</v>
      </c>
      <c r="S20" s="6" t="s">
        <v>31</v>
      </c>
      <c r="T20" s="6"/>
      <c r="U20" s="11" t="b">
        <v>1</v>
      </c>
      <c r="V20" s="6">
        <v>19</v>
      </c>
      <c r="W20" s="7" t="s">
        <v>182</v>
      </c>
      <c r="X20" s="12" t="str">
        <f>IF($A20="","","{""id"":"""&amp;$A20&amp;""",""name"":"""&amp;$B20&amp;""",""category"":"""&amp;$C20&amp;""",""type"":"""&amp;$D20&amp;""",""source"":"""&amp;$E20&amp;""",""rarity"":"""&amp;$F20&amp;""",""texture"":"""&amp;$G20&amp;""",""icon"":"""&amp;$H20&amp;""",""placeable"":""&amp;IF($I20,""true"",""false"")&amp;"",""effects"":[{""type"":"""&amp;$J20&amp;""",""value"":""&amp;TEXT($K20,""0.##"")&amp;""},{""type"":"""&amp;$L20&amp;""",""value"":""&amp;TEXT($M20,""0.##"")&amp;""}],""unlockType"":"""&amp;$Q20&amp;""",""desc"":"""&amp;$R20&amp;"""}" )</f>
        <v>{"id":"item_cloth_constellation_01","name":"銀河特工衣","category":"equipment","type":"cloth","source":"constellation","rarity":"rare","texture":"cloth_constellation","icon":"icon_cloth_constellation","placeable":"&amp;IF($I20,"true","false")&amp;","effects":[{"type":"rewardRate","value":"&amp;TEXT($K20,"0.##")&amp;"},{"type":"none","value":"&amp;TEXT($M20,"0.##")&amp;"}],"unlockType":"drop","desc":"像銀河巡航員一樣帥氣"}</v>
      </c>
    </row>
    <row r="21" spans="1:24" ht="72.5">
      <c r="A21" s="6" t="s">
        <v>183</v>
      </c>
      <c r="B21" s="6" t="s">
        <v>274</v>
      </c>
      <c r="C21" s="7" t="s">
        <v>77</v>
      </c>
      <c r="D21" s="6" t="s">
        <v>33</v>
      </c>
      <c r="E21" s="6" t="s">
        <v>45</v>
      </c>
      <c r="F21" s="6" t="s">
        <v>28</v>
      </c>
      <c r="G21" s="6" t="s">
        <v>184</v>
      </c>
      <c r="H21" s="6" t="s">
        <v>185</v>
      </c>
      <c r="I21" s="6" t="b">
        <v>0</v>
      </c>
      <c r="J21" s="6" t="s">
        <v>46</v>
      </c>
      <c r="K21" s="8">
        <v>1</v>
      </c>
      <c r="L21" s="6" t="s">
        <v>23</v>
      </c>
      <c r="M21" s="8">
        <v>0</v>
      </c>
      <c r="N21" s="9">
        <v>0</v>
      </c>
      <c r="O21" s="9">
        <v>0</v>
      </c>
      <c r="P21" s="10">
        <v>0</v>
      </c>
      <c r="Q21" s="6" t="s">
        <v>30</v>
      </c>
      <c r="R21" s="6" t="s">
        <v>186</v>
      </c>
      <c r="S21" s="6" t="s">
        <v>31</v>
      </c>
      <c r="T21" s="6"/>
      <c r="U21" s="11" t="b">
        <v>1</v>
      </c>
      <c r="V21" s="6">
        <v>20</v>
      </c>
      <c r="W21" s="7" t="s">
        <v>187</v>
      </c>
      <c r="X21" s="12" t="str">
        <f>IF($A21="","","{""id"":"""&amp;$A21&amp;""",""name"":"""&amp;$B21&amp;""",""category"":"""&amp;$C21&amp;""",""type"":"""&amp;$D21&amp;""",""source"":"""&amp;$E21&amp;""",""rarity"":"""&amp;$F21&amp;""",""texture"":"""&amp;$G21&amp;""",""icon"":"""&amp;$H21&amp;""",""placeable"":""&amp;IF($I21,""true"",""false"")&amp;"",""effects"":[{""type"":"""&amp;$J21&amp;""",""value"":""&amp;TEXT($K21,""0.##"")&amp;""},{""type"":"""&amp;$L21&amp;""",""value"":""&amp;TEXT($M21,""0.##"")&amp;""}],""unlockType"":"""&amp;$Q21&amp;""",""desc"":"""&amp;$R21&amp;"""}" )</f>
        <v>{"id":"item_fullset_constellation_01","name":"小小太空人","category":"equipment","type":"fullset","source":"constellation","rarity":"rare","texture":"fullset_constellation","icon":"icon_fullset_constellation","placeable":"&amp;IF($I21,"true","false")&amp;","effects":[{"type":"revealHint","value":"&amp;TEXT($K21,"0.##")&amp;"},{"type":"none","value":"&amp;TEXT($M21,"0.##")&amp;"}],"unlockType":"drop","desc":"穿上後像在夜空裡旅行"}</v>
      </c>
    </row>
    <row r="22" spans="1:24" ht="72.5">
      <c r="A22" s="6" t="s">
        <v>188</v>
      </c>
      <c r="B22" s="6" t="s">
        <v>189</v>
      </c>
      <c r="C22" s="7" t="s">
        <v>39</v>
      </c>
      <c r="D22" s="6" t="s">
        <v>39</v>
      </c>
      <c r="E22" s="6" t="s">
        <v>45</v>
      </c>
      <c r="F22" s="6" t="s">
        <v>28</v>
      </c>
      <c r="G22" s="6" t="s">
        <v>190</v>
      </c>
      <c r="H22" s="6" t="s">
        <v>191</v>
      </c>
      <c r="I22" s="6" t="b">
        <v>0</v>
      </c>
      <c r="J22" s="6" t="s">
        <v>52</v>
      </c>
      <c r="K22" s="8">
        <v>3</v>
      </c>
      <c r="L22" s="6" t="s">
        <v>23</v>
      </c>
      <c r="M22" s="8">
        <v>0</v>
      </c>
      <c r="N22" s="9">
        <v>0</v>
      </c>
      <c r="O22" s="9">
        <v>0</v>
      </c>
      <c r="P22" s="10">
        <v>0</v>
      </c>
      <c r="Q22" s="6" t="s">
        <v>30</v>
      </c>
      <c r="R22" s="6" t="s">
        <v>192</v>
      </c>
      <c r="S22" s="6" t="s">
        <v>31</v>
      </c>
      <c r="T22" s="6"/>
      <c r="U22" s="11" t="b">
        <v>1</v>
      </c>
      <c r="V22" s="6">
        <v>21</v>
      </c>
      <c r="W22" s="7" t="s">
        <v>193</v>
      </c>
      <c r="X22" s="12" t="str">
        <f>IF($A22="","","{""id"":"""&amp;$A22&amp;""",""name"":"""&amp;$B22&amp;""",""category"":"""&amp;$C22&amp;""",""type"":"""&amp;$D22&amp;""",""source"":"""&amp;$E22&amp;""",""rarity"":"""&amp;$F22&amp;""",""texture"":"""&amp;$G22&amp;""",""icon"":"""&amp;$H22&amp;""",""placeable"":""&amp;IF($I22,""true"",""false"")&amp;"",""effects"":[{""type"":"""&amp;$J22&amp;""",""value"":""&amp;TEXT($K22,""0.##"")&amp;""},{""type"":"""&amp;$L22&amp;""",""value"":""&amp;TEXT($M22,""0.##"")&amp;""}],""unlockType"":"""&amp;$Q22&amp;""",""desc"":"""&amp;$R22&amp;"""}" )</f>
        <v>{"id":"item_tool_constellation_01","name":"星光連線筆","category":"tool","type":"tool","source":"constellation","rarity":"rare","texture":"tool_star_pen","icon":"icon_star_pen","placeable":"&amp;IF($I22,"true","false")&amp;","effects":[{"type":"timeBonus","value":"&amp;TEXT($K22,"0.##")&amp;"},{"type":"none","value":"&amp;TEXT($M22,"0.##")&amp;"}],"unlockType":"drop","desc":"幫助你畫出完整的星座軌跡"}</v>
      </c>
    </row>
    <row r="23" spans="1:24" ht="72.5">
      <c r="A23" s="6" t="s">
        <v>194</v>
      </c>
      <c r="B23" s="6" t="s">
        <v>275</v>
      </c>
      <c r="C23" s="7" t="s">
        <v>77</v>
      </c>
      <c r="D23" s="6" t="s">
        <v>20</v>
      </c>
      <c r="E23" s="6" t="s">
        <v>48</v>
      </c>
      <c r="F23" s="6" t="s">
        <v>28</v>
      </c>
      <c r="G23" s="6" t="s">
        <v>195</v>
      </c>
      <c r="H23" s="6" t="s">
        <v>196</v>
      </c>
      <c r="I23" s="6" t="b">
        <v>0</v>
      </c>
      <c r="J23" s="6" t="s">
        <v>46</v>
      </c>
      <c r="K23" s="8">
        <v>1</v>
      </c>
      <c r="L23" s="6" t="s">
        <v>23</v>
      </c>
      <c r="M23" s="8">
        <v>0</v>
      </c>
      <c r="N23" s="9">
        <v>0</v>
      </c>
      <c r="O23" s="9">
        <v>0</v>
      </c>
      <c r="P23" s="10">
        <v>0</v>
      </c>
      <c r="Q23" s="6" t="s">
        <v>30</v>
      </c>
      <c r="R23" s="6" t="s">
        <v>197</v>
      </c>
      <c r="S23" s="6" t="s">
        <v>31</v>
      </c>
      <c r="T23" s="6"/>
      <c r="U23" s="11" t="b">
        <v>1</v>
      </c>
      <c r="V23" s="6">
        <v>22</v>
      </c>
      <c r="W23" s="7" t="s">
        <v>198</v>
      </c>
      <c r="X23" s="12" t="str">
        <f>IF($A23="","","{""id"":"""&amp;$A23&amp;""",""name"":"""&amp;$B23&amp;""",""category"":"""&amp;$C23&amp;""",""type"":"""&amp;$D23&amp;""",""source"":"""&amp;$E23&amp;""",""rarity"":"""&amp;$F23&amp;""",""texture"":"""&amp;$G23&amp;""",""icon"":"""&amp;$H23&amp;""",""placeable"":""&amp;IF($I23,""true"",""false"")&amp;"",""effects"":[{""type"":"""&amp;$J23&amp;""",""value"":""&amp;TEXT($K23,""0.##"")&amp;""},{""type"":"""&amp;$L23&amp;""",""value"":""&amp;TEXT($M23,""0.##"")&amp;""}],""unlockType"":"""&amp;$Q23&amp;""",""desc"":"""&amp;$R23&amp;"""}" )</f>
        <v>{"id":"item_hat_animals_01","name":"動物耳朵帽","category":"equipment","type":"hat","source":"animals","rarity":"rare","texture":"hat_animals","icon":"icon_hat_animals","placeable":"&amp;IF($I23,"true","false")&amp;","effects":[{"type":"revealHint","value":"&amp;TEXT($K23,"0.##")&amp;"},{"type":"none","value":"&amp;TEXT($M23,"0.##")&amp;"}],"unlockType":"drop","desc":"可愛的動物耳朵帽"}</v>
      </c>
    </row>
    <row r="24" spans="1:24" ht="72.5">
      <c r="A24" s="6" t="s">
        <v>199</v>
      </c>
      <c r="B24" s="6" t="s">
        <v>200</v>
      </c>
      <c r="C24" s="7" t="s">
        <v>77</v>
      </c>
      <c r="D24" s="6" t="s">
        <v>26</v>
      </c>
      <c r="E24" s="6" t="s">
        <v>48</v>
      </c>
      <c r="F24" s="6" t="s">
        <v>28</v>
      </c>
      <c r="G24" s="6" t="s">
        <v>201</v>
      </c>
      <c r="H24" s="6" t="s">
        <v>202</v>
      </c>
      <c r="I24" s="6" t="b">
        <v>0</v>
      </c>
      <c r="J24" s="6" t="s">
        <v>57</v>
      </c>
      <c r="K24" s="8">
        <v>0.15</v>
      </c>
      <c r="L24" s="6" t="s">
        <v>23</v>
      </c>
      <c r="M24" s="8">
        <v>0</v>
      </c>
      <c r="N24" s="9">
        <v>0</v>
      </c>
      <c r="O24" s="9">
        <v>0</v>
      </c>
      <c r="P24" s="10">
        <v>0</v>
      </c>
      <c r="Q24" s="6" t="s">
        <v>30</v>
      </c>
      <c r="R24" s="6" t="s">
        <v>203</v>
      </c>
      <c r="S24" s="6" t="s">
        <v>31</v>
      </c>
      <c r="T24" s="6"/>
      <c r="U24" s="11" t="b">
        <v>1</v>
      </c>
      <c r="V24" s="6">
        <v>23</v>
      </c>
      <c r="W24" s="7" t="s">
        <v>204</v>
      </c>
      <c r="X24" s="12" t="str">
        <f>IF($A24="","","{""id"":"""&amp;$A24&amp;""",""name"":"""&amp;$B24&amp;""",""category"":"""&amp;$C24&amp;""",""type"":"""&amp;$D24&amp;""",""source"":"""&amp;$E24&amp;""",""rarity"":"""&amp;$F24&amp;""",""texture"":"""&amp;$G24&amp;""",""icon"":"""&amp;$H24&amp;""",""placeable"":""&amp;IF($I24,""true"",""false"")&amp;"",""effects"":[{""type"":"""&amp;$J24&amp;""",""value"":""&amp;TEXT($K24,""0.##"")&amp;""},{""type"":"""&amp;$L24&amp;""",""value"":""&amp;TEXT($M24,""0.##"")&amp;""}],""unlockType"":"""&amp;$Q24&amp;""",""desc"":"""&amp;$R24&amp;"""}" )</f>
        <v>{"id":"item_cloth_animals_01","name":"排隊小隊長服","category":"equipment","type":"cloth","source":"animals","rarity":"rare","texture":"cloth_animals","icon":"icon_cloth_animals","placeable":"&amp;IF($I24,"true","false")&amp;","effects":[{"type":"slowDown","value":"&amp;TEXT($K24,"0.##")&amp;"},{"type":"none","value":"&amp;TEXT($M24,"0.##")&amp;"}],"unlockType":"drop","desc":"讓動物排隊節奏慢一些"}</v>
      </c>
    </row>
    <row r="25" spans="1:24" ht="72.5">
      <c r="A25" s="6" t="s">
        <v>205</v>
      </c>
      <c r="B25" s="6" t="s">
        <v>206</v>
      </c>
      <c r="C25" s="7" t="s">
        <v>77</v>
      </c>
      <c r="D25" s="6" t="s">
        <v>33</v>
      </c>
      <c r="E25" s="6" t="s">
        <v>48</v>
      </c>
      <c r="F25" s="6" t="s">
        <v>28</v>
      </c>
      <c r="G25" s="6" t="s">
        <v>207</v>
      </c>
      <c r="H25" s="6" t="s">
        <v>208</v>
      </c>
      <c r="I25" s="6" t="b">
        <v>0</v>
      </c>
      <c r="J25" s="6" t="s">
        <v>54</v>
      </c>
      <c r="K25" s="8">
        <v>1</v>
      </c>
      <c r="L25" s="6" t="s">
        <v>23</v>
      </c>
      <c r="M25" s="8">
        <v>0</v>
      </c>
      <c r="N25" s="9">
        <v>0</v>
      </c>
      <c r="O25" s="9">
        <v>0</v>
      </c>
      <c r="P25" s="10">
        <v>0</v>
      </c>
      <c r="Q25" s="6" t="s">
        <v>30</v>
      </c>
      <c r="R25" s="6" t="s">
        <v>209</v>
      </c>
      <c r="S25" s="6" t="s">
        <v>31</v>
      </c>
      <c r="T25" s="6"/>
      <c r="U25" s="11" t="b">
        <v>1</v>
      </c>
      <c r="V25" s="6">
        <v>24</v>
      </c>
      <c r="W25" s="7" t="s">
        <v>210</v>
      </c>
      <c r="X25" s="12" t="str">
        <f>IF($A25="","","{""id"":"""&amp;$A25&amp;""",""name"":"""&amp;$B25&amp;""",""category"":"""&amp;$C25&amp;""",""type"":"""&amp;$D25&amp;""",""source"":"""&amp;$E25&amp;""",""rarity"":"""&amp;$F25&amp;""",""texture"":"""&amp;$G25&amp;""",""icon"":"""&amp;$H25&amp;""",""placeable"":""&amp;IF($I25,""true"",""false"")&amp;"",""effects"":[{""type"":"""&amp;$J25&amp;""",""value"":""&amp;TEXT($K25,""0.##"")&amp;""},{""type"":"""&amp;$L25&amp;""",""value"":""&amp;TEXT($M25,""0.##"")&amp;""}],""unlockType"":"""&amp;$Q25&amp;""",""desc"":"""&amp;$R25&amp;"""}" )</f>
        <v>{"id":"item_fullset_animals_01","name":"毛茸茸熊裝","category":"equipment","type":"fullset","source":"animals","rarity":"rare","texture":"fullset_animals","icon":"icon_fullset_animals","placeable":"&amp;IF($I25,"true","false")&amp;","effects":[{"type":"extraMistake","value":"&amp;TEXT($K25,"0.##")&amp;"},{"type":"none","value":"&amp;TEXT($M25,"0.##")&amp;"}],"unlockType":"drop","desc":"毛茸茸的熊熊套裝"}</v>
      </c>
    </row>
    <row r="26" spans="1:24" ht="72.5">
      <c r="A26" s="6" t="s">
        <v>211</v>
      </c>
      <c r="B26" s="6" t="s">
        <v>212</v>
      </c>
      <c r="C26" s="7" t="s">
        <v>39</v>
      </c>
      <c r="D26" s="6" t="s">
        <v>39</v>
      </c>
      <c r="E26" s="6" t="s">
        <v>48</v>
      </c>
      <c r="F26" s="6" t="s">
        <v>28</v>
      </c>
      <c r="G26" s="6" t="s">
        <v>213</v>
      </c>
      <c r="H26" s="6" t="s">
        <v>214</v>
      </c>
      <c r="I26" s="6" t="b">
        <v>0</v>
      </c>
      <c r="J26" s="6" t="s">
        <v>29</v>
      </c>
      <c r="K26" s="8">
        <v>0.15</v>
      </c>
      <c r="L26" s="6" t="s">
        <v>23</v>
      </c>
      <c r="M26" s="8">
        <v>0</v>
      </c>
      <c r="N26" s="9">
        <v>0.15</v>
      </c>
      <c r="O26" s="9">
        <v>0</v>
      </c>
      <c r="P26" s="10">
        <v>0</v>
      </c>
      <c r="Q26" s="6" t="s">
        <v>30</v>
      </c>
      <c r="R26" s="6" t="s">
        <v>215</v>
      </c>
      <c r="S26" s="6" t="s">
        <v>31</v>
      </c>
      <c r="T26" s="6"/>
      <c r="U26" s="11" t="b">
        <v>1</v>
      </c>
      <c r="V26" s="6">
        <v>25</v>
      </c>
      <c r="W26" s="7" t="s">
        <v>216</v>
      </c>
      <c r="X26" s="12" t="str">
        <f>IF($A26="","","{""id"":"""&amp;$A26&amp;""",""name"":"""&amp;$B26&amp;""",""category"":"""&amp;$C26&amp;""",""type"":"""&amp;$D26&amp;""",""source"":"""&amp;$E26&amp;""",""rarity"":"""&amp;$F26&amp;""",""texture"":"""&amp;$G26&amp;""",""icon"":"""&amp;$H26&amp;""",""placeable"":""&amp;IF($I26,""true"",""false"")&amp;"",""effects"":[{""type"":"""&amp;$J26&amp;""",""value"":""&amp;TEXT($K26,""0.##"")&amp;""},{""type"":"""&amp;$L26&amp;""",""value"":""&amp;TEXT($M26,""0.##"")&amp;""}],""unlockType"":"""&amp;$Q26&amp;""",""desc"":"""&amp;$R26&amp;"""}" )</f>
        <v>{"id":"item_tool_animals_01","name":"森林指揮棒","category":"tool","type":"tool","source":"animals","rarity":"rare","texture":"tool_baton","icon":"icon_baton","placeable":"&amp;IF($I26,"true","false")&amp;","effects":[{"type":"rewardRate","value":"&amp;TEXT($K26,"0.##")&amp;"},{"type":"none","value":"&amp;TEXT($M26,"0.##")&amp;"}],"unlockType":"drop","desc":"揮一揮，動物們就排好隊"}</v>
      </c>
    </row>
    <row r="27" spans="1:24" ht="72.5">
      <c r="A27" s="6" t="s">
        <v>217</v>
      </c>
      <c r="B27" s="6" t="s">
        <v>218</v>
      </c>
      <c r="C27" s="7" t="s">
        <v>77</v>
      </c>
      <c r="D27" s="6" t="s">
        <v>20</v>
      </c>
      <c r="E27" s="6" t="s">
        <v>51</v>
      </c>
      <c r="F27" s="6" t="s">
        <v>22</v>
      </c>
      <c r="G27" s="6" t="s">
        <v>219</v>
      </c>
      <c r="H27" s="6" t="s">
        <v>220</v>
      </c>
      <c r="I27" s="6" t="b">
        <v>0</v>
      </c>
      <c r="J27" s="6" t="s">
        <v>42</v>
      </c>
      <c r="K27" s="8">
        <v>1</v>
      </c>
      <c r="L27" s="6" t="s">
        <v>23</v>
      </c>
      <c r="M27" s="8">
        <v>0</v>
      </c>
      <c r="N27" s="9">
        <v>0</v>
      </c>
      <c r="O27" s="9">
        <v>0</v>
      </c>
      <c r="P27" s="10">
        <v>1</v>
      </c>
      <c r="Q27" s="6" t="s">
        <v>37</v>
      </c>
      <c r="R27" s="6" t="s">
        <v>221</v>
      </c>
      <c r="S27" s="6" t="s">
        <v>31</v>
      </c>
      <c r="T27" s="6"/>
      <c r="U27" s="11" t="b">
        <v>1</v>
      </c>
      <c r="V27" s="6">
        <v>26</v>
      </c>
      <c r="W27" s="7" t="s">
        <v>222</v>
      </c>
      <c r="X27" s="12" t="str">
        <f>IF($A27="","","{""id"":"""&amp;$A27&amp;""",""name"":"""&amp;$B27&amp;""",""category"":"""&amp;$C27&amp;""",""type"":"""&amp;$D27&amp;""",""source"":"""&amp;$E27&amp;""",""rarity"":"""&amp;$F27&amp;""",""texture"":"""&amp;$G27&amp;""",""icon"":"""&amp;$H27&amp;""",""placeable"":""&amp;IF($I27,""true"",""false"")&amp;"",""effects"":[{""type"":"""&amp;$J27&amp;""",""value"":""&amp;TEXT($K27,""0.##"")&amp;""},{""type"":"""&amp;$L27&amp;""",""value"":""&amp;TEXT($M27,""0.##"")&amp;""}],""unlockType"":"""&amp;$Q27&amp;""",""desc"":"""&amp;$R27&amp;"""}" )</f>
        <v>{"id":"item_hat_global_01","name":"紅色運動帽","category":"equipment","type":"hat","source":"global","rarity":"common","texture":"hat_red_sport","icon":"icon_hat_red_sport","placeable":"&amp;IF($I27,"true","false")&amp;","effects":[{"type":"extraPlayCount","value":"&amp;TEXT($K27,"0.##")&amp;"},{"type":"none","value":"&amp;TEXT($M27,"0.##")&amp;"}],"unlockType":"shop","desc":"運動風的紅色帽子"}</v>
      </c>
    </row>
    <row r="28" spans="1:24" ht="72.5">
      <c r="A28" s="6" t="s">
        <v>223</v>
      </c>
      <c r="B28" s="6" t="s">
        <v>224</v>
      </c>
      <c r="C28" s="7" t="s">
        <v>77</v>
      </c>
      <c r="D28" s="6" t="s">
        <v>26</v>
      </c>
      <c r="E28" s="6" t="s">
        <v>51</v>
      </c>
      <c r="F28" s="6" t="s">
        <v>22</v>
      </c>
      <c r="G28" s="6" t="s">
        <v>225</v>
      </c>
      <c r="H28" s="6" t="s">
        <v>226</v>
      </c>
      <c r="I28" s="6" t="b">
        <v>0</v>
      </c>
      <c r="J28" s="6" t="s">
        <v>29</v>
      </c>
      <c r="K28" s="8">
        <v>0.1</v>
      </c>
      <c r="L28" s="6" t="s">
        <v>23</v>
      </c>
      <c r="M28" s="8">
        <v>0</v>
      </c>
      <c r="N28" s="9">
        <v>0.1</v>
      </c>
      <c r="O28" s="9">
        <v>0</v>
      </c>
      <c r="P28" s="10">
        <v>0</v>
      </c>
      <c r="Q28" s="6" t="s">
        <v>37</v>
      </c>
      <c r="R28" s="6" t="s">
        <v>227</v>
      </c>
      <c r="S28" s="6" t="s">
        <v>31</v>
      </c>
      <c r="T28" s="6"/>
      <c r="U28" s="11" t="b">
        <v>1</v>
      </c>
      <c r="V28" s="6">
        <v>27</v>
      </c>
      <c r="W28" s="7" t="s">
        <v>228</v>
      </c>
      <c r="X28" s="12" t="str">
        <f>IF($A28="","","{""id"":"""&amp;$A28&amp;""",""name"":"""&amp;$B28&amp;""",""category"":"""&amp;$C28&amp;""",""type"":"""&amp;$D28&amp;""",""source"":"""&amp;$E28&amp;""",""rarity"":"""&amp;$F28&amp;""",""texture"":"""&amp;$G28&amp;""",""icon"":"""&amp;$H28&amp;""",""placeable"":""&amp;IF($I28,""true"",""false"")&amp;"",""effects"":[{""type"":"""&amp;$J28&amp;""",""value"":""&amp;TEXT($K28,""0.##"")&amp;""},{""type"":"""&amp;$L28&amp;""",""value"":""&amp;TEXT($M28,""0.##"")&amp;""}],""unlockType"":"""&amp;$Q28&amp;""",""desc"":"""&amp;$R28&amp;"""}" )</f>
        <v>{"id":"item_cloth_global_01","name":"紅色運動服","category":"equipment","type":"cloth","source":"global","rarity":"common","texture":"cloth_red_sport","icon":"icon_cloth_red_sport","placeable":"&amp;IF($I28,"true","false")&amp;","effects":[{"type":"rewardRate","value":"&amp;TEXT($K28,"0.##")&amp;"},{"type":"none","value":"&amp;TEXT($M28,"0.##")&amp;"}],"unlockType":"shop","desc":"大人帶幼兒園的運動服"}</v>
      </c>
    </row>
    <row r="29" spans="1:24" ht="72.5">
      <c r="A29" s="6" t="s">
        <v>229</v>
      </c>
      <c r="B29" s="6" t="s">
        <v>230</v>
      </c>
      <c r="C29" s="7" t="s">
        <v>77</v>
      </c>
      <c r="D29" s="6" t="s">
        <v>33</v>
      </c>
      <c r="E29" s="6" t="s">
        <v>51</v>
      </c>
      <c r="F29" s="6" t="s">
        <v>22</v>
      </c>
      <c r="G29" s="6" t="s">
        <v>231</v>
      </c>
      <c r="H29" s="6" t="s">
        <v>232</v>
      </c>
      <c r="I29" s="6" t="b">
        <v>0</v>
      </c>
      <c r="J29" s="6" t="s">
        <v>29</v>
      </c>
      <c r="K29" s="8">
        <v>0.1</v>
      </c>
      <c r="L29" s="6" t="s">
        <v>36</v>
      </c>
      <c r="M29" s="8">
        <v>0.05</v>
      </c>
      <c r="N29" s="9">
        <v>0.1</v>
      </c>
      <c r="O29" s="9">
        <v>0.05</v>
      </c>
      <c r="P29" s="10">
        <v>0</v>
      </c>
      <c r="Q29" s="6" t="s">
        <v>53</v>
      </c>
      <c r="R29" s="6" t="s">
        <v>233</v>
      </c>
      <c r="S29" s="6" t="s">
        <v>31</v>
      </c>
      <c r="T29" s="6"/>
      <c r="U29" s="11" t="b">
        <v>1</v>
      </c>
      <c r="V29" s="6">
        <v>28</v>
      </c>
      <c r="W29" s="7" t="s">
        <v>234</v>
      </c>
      <c r="X29" s="12" t="str">
        <f>IF($A29="","","{""id"":"""&amp;$A29&amp;""",""name"":"""&amp;$B29&amp;""",""category"":"""&amp;$C29&amp;""",""type"":"""&amp;$D29&amp;""",""source"":"""&amp;$E29&amp;""",""rarity"":"""&amp;$F29&amp;""",""texture"":"""&amp;$G29&amp;""",""icon"":"""&amp;$H29&amp;""",""placeable"":""&amp;IF($I29,""true"",""false"")&amp;"",""effects"":[{""type"":"""&amp;$J29&amp;""",""value"":""&amp;TEXT($K29,""0.##"")&amp;""},{""type"":"""&amp;$L29&amp;""",""value"":""&amp;TEXT($M29,""0.##"")&amp;""}],""unlockType"":"""&amp;$Q29&amp;""",""desc"":"""&amp;$R29&amp;"""}" )</f>
        <v>{"id":"item_fullset_global_01","name":"五迷服","category":"equipment","type":"fullset","source":"global","rarity":"common","texture":"fullset_fan","icon":"icon_fullset_fan","placeable":"&amp;IF($I29,"true","false")&amp;","effects":[{"type":"rewardRate","value":"&amp;TEXT($K29,"0.##")&amp;"},{"type":"dropRate","value":"&amp;TEXT($M29,"0.##")&amp;"}],"unlockType":"event","desc":"五月大的小粉絲"}</v>
      </c>
    </row>
    <row r="30" spans="1:24" ht="72.5">
      <c r="A30" s="6" t="s">
        <v>235</v>
      </c>
      <c r="B30" s="6" t="s">
        <v>236</v>
      </c>
      <c r="C30" s="7" t="s">
        <v>39</v>
      </c>
      <c r="D30" s="6" t="s">
        <v>39</v>
      </c>
      <c r="E30" s="6" t="s">
        <v>51</v>
      </c>
      <c r="F30" s="6" t="s">
        <v>28</v>
      </c>
      <c r="G30" s="6" t="s">
        <v>237</v>
      </c>
      <c r="H30" s="6" t="s">
        <v>238</v>
      </c>
      <c r="I30" s="6" t="b">
        <v>0</v>
      </c>
      <c r="J30" s="6" t="s">
        <v>55</v>
      </c>
      <c r="K30" s="8">
        <v>0.08</v>
      </c>
      <c r="L30" s="6" t="s">
        <v>23</v>
      </c>
      <c r="M30" s="8">
        <v>0</v>
      </c>
      <c r="N30" s="9">
        <v>0</v>
      </c>
      <c r="O30" s="9">
        <v>0</v>
      </c>
      <c r="P30" s="10">
        <v>0</v>
      </c>
      <c r="Q30" s="6" t="s">
        <v>37</v>
      </c>
      <c r="R30" s="6" t="s">
        <v>239</v>
      </c>
      <c r="S30" s="6" t="s">
        <v>31</v>
      </c>
      <c r="T30" s="6"/>
      <c r="U30" s="11" t="b">
        <v>1</v>
      </c>
      <c r="V30" s="6">
        <v>29</v>
      </c>
      <c r="W30" s="7" t="s">
        <v>240</v>
      </c>
      <c r="X30" s="12" t="str">
        <f>IF($A30="","","{""id"":"""&amp;$A30&amp;""",""name"":"""&amp;$B30&amp;""",""category"":"""&amp;$C30&amp;""",""type"":"""&amp;$D30&amp;""",""source"":"""&amp;$E30&amp;""",""rarity"":"""&amp;$F30&amp;""",""texture"":"""&amp;$G30&amp;""",""icon"":"""&amp;$H30&amp;""",""placeable"":""&amp;IF($I30,""true"",""false"")&amp;"",""effects"":[{""type"":"""&amp;$J30&amp;""",""value"":""&amp;TEXT($K30,""0.##"")&amp;""},{""type"":"""&amp;$L30&amp;""",""value"":""&amp;TEXT($M30,""0.##"")&amp;""}],""unlockType"":"""&amp;$Q30&amp;""",""desc"":"""&amp;$R30&amp;"""}" )</f>
        <v>{"id":"item_tool_global_01","name":"幸運吊飾","category":"tool","type":"tool","source":"global","rarity":"rare","texture":"tool_charm","icon":"icon_charm","placeable":"&amp;IF($I30,"true","false")&amp;","effects":[{"type":"chestRate","value":"&amp;TEXT($K30,"0.##")&amp;"},{"type":"none","value":"&amp;TEXT($M30,"0.##")&amp;"}],"unlockType":"shop","desc":"掛在背包上會帶來好運"}</v>
      </c>
    </row>
    <row r="31" spans="1:24" ht="72.5">
      <c r="A31" s="6" t="s">
        <v>241</v>
      </c>
      <c r="B31" s="6" t="s">
        <v>242</v>
      </c>
      <c r="C31" s="7" t="s">
        <v>77</v>
      </c>
      <c r="D31" s="6" t="s">
        <v>33</v>
      </c>
      <c r="E31" s="6" t="s">
        <v>50</v>
      </c>
      <c r="F31" s="6" t="s">
        <v>41</v>
      </c>
      <c r="G31" s="6" t="s">
        <v>243</v>
      </c>
      <c r="H31" s="6" t="s">
        <v>244</v>
      </c>
      <c r="I31" s="6" t="b">
        <v>0</v>
      </c>
      <c r="J31" s="6" t="s">
        <v>58</v>
      </c>
      <c r="K31" s="8">
        <v>1</v>
      </c>
      <c r="L31" s="6" t="s">
        <v>59</v>
      </c>
      <c r="M31" s="8">
        <v>1</v>
      </c>
      <c r="N31" s="9">
        <v>0</v>
      </c>
      <c r="O31" s="9">
        <v>0</v>
      </c>
      <c r="P31" s="10">
        <v>0</v>
      </c>
      <c r="Q31" s="6" t="s">
        <v>50</v>
      </c>
      <c r="R31" s="6" t="s">
        <v>245</v>
      </c>
      <c r="S31" s="6" t="s">
        <v>31</v>
      </c>
      <c r="T31" s="6" t="s">
        <v>246</v>
      </c>
      <c r="U31" s="11" t="b">
        <v>1</v>
      </c>
      <c r="V31" s="6">
        <v>30</v>
      </c>
      <c r="W31" s="7" t="s">
        <v>247</v>
      </c>
      <c r="X31" s="12" t="str">
        <f>IF($A31="","","{""id"":"""&amp;$A31&amp;""",""name"":"""&amp;$B31&amp;""",""category"":"""&amp;$C31&amp;""",""type"":"""&amp;$D31&amp;""",""source"":"""&amp;$E31&amp;""",""rarity"":"""&amp;$F31&amp;""",""texture"":"""&amp;$G31&amp;""",""icon"":"""&amp;$H31&amp;""",""placeable"":""&amp;IF($I31,""true"",""false"")&amp;"",""effects"":[{""type"":"""&amp;$J31&amp;""",""value"":""&amp;TEXT($K31,""0.##"")&amp;""},{""type"":"""&amp;$L31&amp;""",""value"":""&amp;TEXT($M31,""0.##"")&amp;""}],""unlockType"":"""&amp;$Q31&amp;""",""desc"":"""&amp;$R31&amp;"""}" )</f>
        <v>{"id":"item_fullset_secret_guard","name":"母上的守護","category":"equipment","type":"fullset","source":"secret","rarity":"legend","texture":"fullset_guard","icon":"icon_guard","placeable":"&amp;IF($I31,"true","false")&amp;","effects":[{"type":"freeEntry","value":"&amp;TEXT($K31,"0.##")&amp;"},{"type":"freeStageEntry","value":"&amp;TEXT($M31,"0.##")&amp;"}],"unlockType":"secret","desc":"感受到了母親大人的愛意"}</v>
      </c>
    </row>
  </sheetData>
  <phoneticPr fontId="6" type="noConversion"/>
  <dataValidations count="1">
    <dataValidation type="list" allowBlank="1" sqref="I2:I500 U2:U500" xr:uid="{00000000-0002-0000-0200-000007000000}">
      <formula1>"TRUE,FALSE"</formula1>
    </dataValidation>
  </dataValidations>
  <pageMargins left="0.75" right="0.75" top="1" bottom="1" header="0.5" footer="0.5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prompt="請從下拉選單選擇" xr:uid="{00000000-0002-0000-0200-000000000000}">
          <x14:formula1>
            <xm:f>lookups!$A$2:$A$5</xm:f>
          </x14:formula1>
          <xm:sqref>D2:D500</xm:sqref>
        </x14:dataValidation>
        <x14:dataValidation type="list" allowBlank="1" prompt="請從下拉選單選擇" xr:uid="{00000000-0002-0000-0200-000001000000}">
          <x14:formula1>
            <xm:f>lookups!$B$2:$B$9</xm:f>
          </x14:formula1>
          <xm:sqref>E2:E500</xm:sqref>
        </x14:dataValidation>
        <x14:dataValidation type="list" allowBlank="1" prompt="請從下拉選單選擇" xr:uid="{00000000-0002-0000-0200-000002000000}">
          <x14:formula1>
            <xm:f>lookups!$C$2:$C$5</xm:f>
          </x14:formula1>
          <xm:sqref>F2:F500</xm:sqref>
        </x14:dataValidation>
        <x14:dataValidation type="list" allowBlank="1" prompt="請從下拉選單選擇" xr:uid="{00000000-0002-0000-0200-000003000000}">
          <x14:formula1>
            <xm:f>lookups!$D$2:$D$14</xm:f>
          </x14:formula1>
          <xm:sqref>J2:J500 L2:L500</xm:sqref>
        </x14:dataValidation>
        <x14:dataValidation type="list" allowBlank="1" prompt="請從下拉選單選擇" xr:uid="{00000000-0002-0000-0200-000005000000}">
          <x14:formula1>
            <xm:f>lookups!$E$2:$E$8</xm:f>
          </x14:formula1>
          <xm:sqref>Q2:Q500</xm:sqref>
        </x14:dataValidation>
        <x14:dataValidation type="list" allowBlank="1" prompt="請從下拉選單選擇" xr:uid="{00000000-0002-0000-0200-000006000000}">
          <x14:formula1>
            <xm:f>lookups!$F$2:$F$5</xm:f>
          </x14:formula1>
          <xm:sqref>S2:S500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showGridLines="0" workbookViewId="0">
      <pane ySplit="1" topLeftCell="A2" activePane="bottomLeft" state="frozen"/>
      <selection pane="bottomLeft"/>
    </sheetView>
  </sheetViews>
  <sheetFormatPr defaultRowHeight="14.5"/>
  <cols>
    <col min="1" max="1" width="24" customWidth="1"/>
    <col min="2" max="2" width="18" customWidth="1"/>
    <col min="3" max="3" width="12" customWidth="1"/>
    <col min="4" max="4" width="16" customWidth="1"/>
    <col min="5" max="5" width="10" customWidth="1"/>
    <col min="6" max="7" width="24" customWidth="1"/>
    <col min="8" max="8" width="10" customWidth="1"/>
    <col min="9" max="9" width="14" customWidth="1"/>
    <col min="10" max="10" width="12" customWidth="1"/>
    <col min="11" max="11" width="14" customWidth="1"/>
    <col min="12" max="12" width="12" customWidth="1"/>
    <col min="13" max="13" width="14" customWidth="1"/>
    <col min="14" max="14" width="32" customWidth="1"/>
    <col min="15" max="15" width="14" customWidth="1"/>
    <col min="16" max="16" width="10" customWidth="1"/>
  </cols>
  <sheetData>
    <row r="1" spans="1:16">
      <c r="A1" s="5" t="s">
        <v>60</v>
      </c>
      <c r="B1" s="5" t="s">
        <v>61</v>
      </c>
      <c r="C1" s="5" t="s">
        <v>13</v>
      </c>
      <c r="D1" s="5" t="s">
        <v>14</v>
      </c>
      <c r="E1" s="5" t="s">
        <v>15</v>
      </c>
      <c r="F1" s="5" t="s">
        <v>63</v>
      </c>
      <c r="G1" s="5" t="s">
        <v>64</v>
      </c>
      <c r="H1" s="5" t="s">
        <v>65</v>
      </c>
      <c r="I1" s="5" t="s">
        <v>248</v>
      </c>
      <c r="J1" s="5" t="s">
        <v>249</v>
      </c>
      <c r="K1" s="5" t="s">
        <v>250</v>
      </c>
      <c r="L1" s="5" t="s">
        <v>251</v>
      </c>
      <c r="M1" s="5" t="s">
        <v>17</v>
      </c>
      <c r="N1" s="5" t="s">
        <v>69</v>
      </c>
      <c r="O1" s="5" t="s">
        <v>73</v>
      </c>
      <c r="P1" s="5" t="s">
        <v>72</v>
      </c>
    </row>
    <row r="2" spans="1:16">
      <c r="A2" s="13" t="str">
        <f>IF(equipment_master!$U2=FALSE,"",equipment_master!$A2)</f>
        <v>item_hat_daily_01</v>
      </c>
      <c r="B2" s="13" t="str">
        <f>IF($A2="","",equipment_master!$B2)</f>
        <v>小髮夾</v>
      </c>
      <c r="C2" s="13" t="str">
        <f>IF($A2="","",equipment_master!$D2)</f>
        <v>hat</v>
      </c>
      <c r="D2" s="13" t="str">
        <f>IF($A2="","",equipment_master!$E2)</f>
        <v>starter</v>
      </c>
      <c r="E2" s="13" t="str">
        <f>IF($A2="","",equipment_master!$F2)</f>
        <v>common</v>
      </c>
      <c r="F2" s="13" t="str">
        <f>IF($A2="","",equipment_master!$G2)</f>
        <v>item_hat_daily_01</v>
      </c>
      <c r="G2" s="13" t="str">
        <f>IF($A2="","",equipment_master!$H2)</f>
        <v>item_hat_daily_01</v>
      </c>
      <c r="H2" s="13" t="b">
        <f>IF($A2="","",equipment_master!$I2)</f>
        <v>0</v>
      </c>
      <c r="I2" s="13" t="str">
        <f>IF($A2="","",equipment_master!$J2)</f>
        <v>none</v>
      </c>
      <c r="J2" s="13">
        <f>IF($A2="","",equipment_master!$K2)</f>
        <v>0</v>
      </c>
      <c r="K2" s="13" t="str">
        <f>IF($A2="","",equipment_master!$L2)</f>
        <v>none</v>
      </c>
      <c r="L2" s="13">
        <f>IF($A2="","",equipment_master!$M2)</f>
        <v>0</v>
      </c>
      <c r="M2" s="13" t="str">
        <f>IF($A2="","",equipment_master!$Q2)</f>
        <v>starter</v>
      </c>
      <c r="N2" s="13" t="str">
        <f>IF($A2="","",equipment_master!$R2)</f>
        <v>簡單可愛的小髮夾</v>
      </c>
      <c r="O2" s="13" t="str">
        <f>IF($A2="","",equipment_master!$W2)</f>
        <v>starter_001</v>
      </c>
      <c r="P2" s="13">
        <f>IF($A2="","",equipment_master!$V2)</f>
        <v>1</v>
      </c>
    </row>
    <row r="3" spans="1:16">
      <c r="A3" s="13" t="str">
        <f>IF(equipment_master!$U3=FALSE,"",equipment_master!$A3)</f>
        <v>item_cloth_daily_01</v>
      </c>
      <c r="B3" s="13" t="str">
        <f>IF($A3="","",equipment_master!$B3)</f>
        <v>休閒裝</v>
      </c>
      <c r="C3" s="13" t="str">
        <f>IF($A3="","",equipment_master!$D3)</f>
        <v>cloth</v>
      </c>
      <c r="D3" s="13" t="str">
        <f>IF($A3="","",equipment_master!$E3)</f>
        <v>starter</v>
      </c>
      <c r="E3" s="13" t="str">
        <f>IF($A3="","",equipment_master!$F3)</f>
        <v>common</v>
      </c>
      <c r="F3" s="13" t="str">
        <f>IF($A3="","",equipment_master!$G3)</f>
        <v>item_cloth_daily_01</v>
      </c>
      <c r="G3" s="13" t="str">
        <f>IF($A3="","",equipment_master!$H3)</f>
        <v>item_cloth_daily_01</v>
      </c>
      <c r="H3" s="13" t="b">
        <f>IF($A3="","",equipment_master!$I3)</f>
        <v>0</v>
      </c>
      <c r="I3" s="13" t="str">
        <f>IF($A3="","",equipment_master!$J3)</f>
        <v>rewardRate</v>
      </c>
      <c r="J3" s="13">
        <f>IF($A3="","",equipment_master!$K3)</f>
        <v>0.05</v>
      </c>
      <c r="K3" s="13" t="str">
        <f>IF($A3="","",equipment_master!$L3)</f>
        <v>none</v>
      </c>
      <c r="L3" s="13">
        <f>IF($A3="","",equipment_master!$M3)</f>
        <v>0</v>
      </c>
      <c r="M3" s="13" t="str">
        <f>IF($A3="","",equipment_master!$Q3)</f>
        <v>starter</v>
      </c>
      <c r="N3" s="13" t="str">
        <f>IF($A3="","",equipment_master!$R3)</f>
        <v>舒適的日常衣服</v>
      </c>
      <c r="O3" s="13" t="str">
        <f>IF($A3="","",equipment_master!$W3)</f>
        <v>starter_002</v>
      </c>
      <c r="P3" s="13">
        <f>IF($A3="","",equipment_master!$V3)</f>
        <v>2</v>
      </c>
    </row>
    <row r="4" spans="1:16">
      <c r="A4" s="13" t="str">
        <f>IF(equipment_master!$U4=FALSE,"",equipment_master!$A4)</f>
        <v>item_hat_common_tiara</v>
      </c>
      <c r="B4" s="13" t="str">
        <f>IF($A4="","",equipment_master!$B4)</f>
        <v>小皇冠</v>
      </c>
      <c r="C4" s="13" t="str">
        <f>IF($A4="","",equipment_master!$D4)</f>
        <v>hat</v>
      </c>
      <c r="D4" s="13" t="str">
        <f>IF($A4="","",equipment_master!$E4)</f>
        <v>global</v>
      </c>
      <c r="E4" s="13" t="str">
        <f>IF($A4="","",equipment_master!$F4)</f>
        <v>rare</v>
      </c>
      <c r="F4" s="13" t="str">
        <f>IF($A4="","",equipment_master!$G4)</f>
        <v>hat_tiara</v>
      </c>
      <c r="G4" s="13" t="str">
        <f>IF($A4="","",equipment_master!$H4)</f>
        <v>icon_hat_tiara</v>
      </c>
      <c r="H4" s="13" t="b">
        <f>IF($A4="","",equipment_master!$I4)</f>
        <v>0</v>
      </c>
      <c r="I4" s="13" t="str">
        <f>IF($A4="","",equipment_master!$J4)</f>
        <v>rewardRate</v>
      </c>
      <c r="J4" s="13">
        <f>IF($A4="","",equipment_master!$K4)</f>
        <v>0.2</v>
      </c>
      <c r="K4" s="13" t="str">
        <f>IF($A4="","",equipment_master!$L4)</f>
        <v>none</v>
      </c>
      <c r="L4" s="13">
        <f>IF($A4="","",equipment_master!$M4)</f>
        <v>0</v>
      </c>
      <c r="M4" s="13" t="str">
        <f>IF($A4="","",equipment_master!$Q4)</f>
        <v>drop</v>
      </c>
      <c r="N4" s="13" t="str">
        <f>IF($A4="","",equipment_master!$R4)</f>
        <v>一頂閃亮的小皇冠</v>
      </c>
      <c r="O4" s="13" t="str">
        <f>IF($A4="","",equipment_master!$W4)</f>
        <v>global_003</v>
      </c>
      <c r="P4" s="13">
        <f>IF($A4="","",equipment_master!$V4)</f>
        <v>3</v>
      </c>
    </row>
    <row r="5" spans="1:16">
      <c r="A5" s="13" t="str">
        <f>IF(equipment_master!$U5=FALSE,"",equipment_master!$A5)</f>
        <v>item_cloth_common_fairy</v>
      </c>
      <c r="B5" s="13" t="str">
        <f>IF($A5="","",equipment_master!$B5)</f>
        <v>小仙子洋裝</v>
      </c>
      <c r="C5" s="13" t="str">
        <f>IF($A5="","",equipment_master!$D5)</f>
        <v>cloth</v>
      </c>
      <c r="D5" s="13" t="str">
        <f>IF($A5="","",equipment_master!$E5)</f>
        <v>firefly</v>
      </c>
      <c r="E5" s="13" t="str">
        <f>IF($A5="","",equipment_master!$F5)</f>
        <v>rare</v>
      </c>
      <c r="F5" s="13" t="str">
        <f>IF($A5="","",equipment_master!$G5)</f>
        <v>cloth_fairy</v>
      </c>
      <c r="G5" s="13" t="str">
        <f>IF($A5="","",equipment_master!$H5)</f>
        <v>icon_cloth_fairy</v>
      </c>
      <c r="H5" s="13" t="b">
        <f>IF($A5="","",equipment_master!$I5)</f>
        <v>0</v>
      </c>
      <c r="I5" s="13" t="str">
        <f>IF($A5="","",equipment_master!$J5)</f>
        <v>dropRate</v>
      </c>
      <c r="J5" s="13">
        <f>IF($A5="","",equipment_master!$K5)</f>
        <v>0.15</v>
      </c>
      <c r="K5" s="13" t="str">
        <f>IF($A5="","",equipment_master!$L5)</f>
        <v>none</v>
      </c>
      <c r="L5" s="13">
        <f>IF($A5="","",equipment_master!$M5)</f>
        <v>0</v>
      </c>
      <c r="M5" s="13" t="str">
        <f>IF($A5="","",equipment_master!$Q5)</f>
        <v>drop</v>
      </c>
      <c r="N5" s="13" t="str">
        <f>IF($A5="","",equipment_master!$R5)</f>
        <v>輕盈可愛的小仙子洋裝</v>
      </c>
      <c r="O5" s="13" t="str">
        <f>IF($A5="","",equipment_master!$W5)</f>
        <v>firefly_004</v>
      </c>
      <c r="P5" s="13">
        <f>IF($A5="","",equipment_master!$V5)</f>
        <v>4</v>
      </c>
    </row>
    <row r="6" spans="1:16">
      <c r="A6" s="13" t="str">
        <f>IF(equipment_master!$U6=FALSE,"",equipment_master!$A6)</f>
        <v>item_fullset_pink_home_01</v>
      </c>
      <c r="B6" s="13" t="str">
        <f>IF($A6="","",equipment_master!$B6)</f>
        <v>粉色居家服</v>
      </c>
      <c r="C6" s="13" t="str">
        <f>IF($A6="","",equipment_master!$D6)</f>
        <v>fullset</v>
      </c>
      <c r="D6" s="13" t="str">
        <f>IF($A6="","",equipment_master!$E6)</f>
        <v>starter</v>
      </c>
      <c r="E6" s="13" t="str">
        <f>IF($A6="","",equipment_master!$F6)</f>
        <v>common</v>
      </c>
      <c r="F6" s="13" t="str">
        <f>IF($A6="","",equipment_master!$G6)</f>
        <v>fullset_pink_home_01</v>
      </c>
      <c r="G6" s="13" t="str">
        <f>IF($A6="","",equipment_master!$H6)</f>
        <v>icon_fullset_pink_home_01</v>
      </c>
      <c r="H6" s="13" t="b">
        <f>IF($A6="","",equipment_master!$I6)</f>
        <v>0</v>
      </c>
      <c r="I6" s="13" t="str">
        <f>IF($A6="","",equipment_master!$J6)</f>
        <v>rewardRate</v>
      </c>
      <c r="J6" s="13">
        <f>IF($A6="","",equipment_master!$K6)</f>
        <v>0.1</v>
      </c>
      <c r="K6" s="13" t="str">
        <f>IF($A6="","",equipment_master!$L6)</f>
        <v>dropRate</v>
      </c>
      <c r="L6" s="13">
        <f>IF($A6="","",equipment_master!$M6)</f>
        <v>0.05</v>
      </c>
      <c r="M6" s="13" t="str">
        <f>IF($A6="","",equipment_master!$Q6)</f>
        <v>starter</v>
      </c>
      <c r="N6" s="13" t="str">
        <f>IF($A6="","",equipment_master!$R6)</f>
        <v>舒服又可愛的粉色居家服</v>
      </c>
      <c r="O6" s="13" t="str">
        <f>IF($A6="","",equipment_master!$W6)</f>
        <v>starter_005</v>
      </c>
      <c r="P6" s="13">
        <f>IF($A6="","",equipment_master!$V6)</f>
        <v>5</v>
      </c>
    </row>
    <row r="7" spans="1:16">
      <c r="A7" s="13" t="str">
        <f>IF(equipment_master!$U7=FALSE,"",equipment_master!$A7)</f>
        <v>item_hat_explore_01</v>
      </c>
      <c r="B7" s="13" t="str">
        <f>IF($A7="","",equipment_master!$B7)</f>
        <v>探險遮陽帽</v>
      </c>
      <c r="C7" s="13" t="str">
        <f>IF($A7="","",equipment_master!$D7)</f>
        <v>hat</v>
      </c>
      <c r="D7" s="13" t="str">
        <f>IF($A7="","",equipment_master!$E7)</f>
        <v>treasure</v>
      </c>
      <c r="E7" s="13" t="str">
        <f>IF($A7="","",equipment_master!$F7)</f>
        <v>rare</v>
      </c>
      <c r="F7" s="13" t="str">
        <f>IF($A7="","",equipment_master!$G7)</f>
        <v>hat_explorer</v>
      </c>
      <c r="G7" s="13" t="str">
        <f>IF($A7="","",equipment_master!$H7)</f>
        <v>icon_hat_explorer</v>
      </c>
      <c r="H7" s="13" t="b">
        <f>IF($A7="","",equipment_master!$I7)</f>
        <v>0</v>
      </c>
      <c r="I7" s="13" t="str">
        <f>IF($A7="","",equipment_master!$J7)</f>
        <v>extraPlayCount</v>
      </c>
      <c r="J7" s="13">
        <f>IF($A7="","",equipment_master!$K7)</f>
        <v>1</v>
      </c>
      <c r="K7" s="13" t="str">
        <f>IF($A7="","",equipment_master!$L7)</f>
        <v>none</v>
      </c>
      <c r="L7" s="13">
        <f>IF($A7="","",equipment_master!$M7)</f>
        <v>0</v>
      </c>
      <c r="M7" s="13" t="str">
        <f>IF($A7="","",equipment_master!$Q7)</f>
        <v>drop</v>
      </c>
      <c r="N7" s="13" t="str">
        <f>IF($A7="","",equipment_master!$R7)</f>
        <v>探險時能多一次嘗試機會</v>
      </c>
      <c r="O7" s="13" t="str">
        <f>IF($A7="","",equipment_master!$W7)</f>
        <v>treasure_006</v>
      </c>
      <c r="P7" s="13">
        <f>IF($A7="","",equipment_master!$V7)</f>
        <v>6</v>
      </c>
    </row>
    <row r="8" spans="1:16">
      <c r="A8" s="13" t="str">
        <f>IF(equipment_master!$U8=FALSE,"",equipment_master!$A8)</f>
        <v>item_cloth_explore_01</v>
      </c>
      <c r="B8" s="13" t="str">
        <f>IF($A8="","",equipment_master!$B8)</f>
        <v>多口袋背心</v>
      </c>
      <c r="C8" s="13" t="str">
        <f>IF($A8="","",equipment_master!$D8)</f>
        <v>cloth</v>
      </c>
      <c r="D8" s="13" t="str">
        <f>IF($A8="","",equipment_master!$E8)</f>
        <v>treasure</v>
      </c>
      <c r="E8" s="13" t="str">
        <f>IF($A8="","",equipment_master!$F8)</f>
        <v>rare</v>
      </c>
      <c r="F8" s="13" t="str">
        <f>IF($A8="","",equipment_master!$G8)</f>
        <v>cloth_explorer</v>
      </c>
      <c r="G8" s="13" t="str">
        <f>IF($A8="","",equipment_master!$H8)</f>
        <v>icon_cloth_explorer</v>
      </c>
      <c r="H8" s="13" t="b">
        <f>IF($A8="","",equipment_master!$I8)</f>
        <v>0</v>
      </c>
      <c r="I8" s="13" t="str">
        <f>IF($A8="","",equipment_master!$J8)</f>
        <v>dropRate</v>
      </c>
      <c r="J8" s="13">
        <f>IF($A8="","",equipment_master!$K8)</f>
        <v>0.1</v>
      </c>
      <c r="K8" s="13" t="str">
        <f>IF($A8="","",equipment_master!$L8)</f>
        <v>none</v>
      </c>
      <c r="L8" s="13">
        <f>IF($A8="","",equipment_master!$M8)</f>
        <v>0</v>
      </c>
      <c r="M8" s="13" t="str">
        <f>IF($A8="","",equipment_master!$Q8)</f>
        <v>drop</v>
      </c>
      <c r="N8" s="13" t="str">
        <f>IF($A8="","",equipment_master!$R8)</f>
        <v>身上掛滿各種探險口袋</v>
      </c>
      <c r="O8" s="13" t="str">
        <f>IF($A8="","",equipment_master!$W8)</f>
        <v>treasure_007</v>
      </c>
      <c r="P8" s="13">
        <f>IF($A8="","",equipment_master!$V8)</f>
        <v>7</v>
      </c>
    </row>
    <row r="9" spans="1:16">
      <c r="A9" s="13" t="str">
        <f>IF(equipment_master!$U9=FALSE,"",equipment_master!$A9)</f>
        <v>item_fullset_explore_01</v>
      </c>
      <c r="B9" s="13" t="str">
        <f>IF($A9="","",equipment_master!$B9)</f>
        <v>野外小偵查</v>
      </c>
      <c r="C9" s="13" t="str">
        <f>IF($A9="","",equipment_master!$D9)</f>
        <v>fullset</v>
      </c>
      <c r="D9" s="13" t="str">
        <f>IF($A9="","",equipment_master!$E9)</f>
        <v>treasure</v>
      </c>
      <c r="E9" s="13" t="str">
        <f>IF($A9="","",equipment_master!$F9)</f>
        <v>rare</v>
      </c>
      <c r="F9" s="13" t="str">
        <f>IF($A9="","",equipment_master!$G9)</f>
        <v>fullset_explorer</v>
      </c>
      <c r="G9" s="13" t="str">
        <f>IF($A9="","",equipment_master!$H9)</f>
        <v>icon_fullset_explorer</v>
      </c>
      <c r="H9" s="13" t="b">
        <f>IF($A9="","",equipment_master!$I9)</f>
        <v>0</v>
      </c>
      <c r="I9" s="13" t="str">
        <f>IF($A9="","",equipment_master!$J9)</f>
        <v>revealHint</v>
      </c>
      <c r="J9" s="13">
        <f>IF($A9="","",equipment_master!$K9)</f>
        <v>1</v>
      </c>
      <c r="K9" s="13" t="str">
        <f>IF($A9="","",equipment_master!$L9)</f>
        <v>none</v>
      </c>
      <c r="L9" s="13">
        <f>IF($A9="","",equipment_master!$M9)</f>
        <v>0</v>
      </c>
      <c r="M9" s="13" t="str">
        <f>IF($A9="","",equipment_master!$Q9)</f>
        <v>drop</v>
      </c>
      <c r="N9" s="13" t="str">
        <f>IF($A9="","",equipment_master!$R9)</f>
        <v>一件充滿探險味道的衣服</v>
      </c>
      <c r="O9" s="13" t="str">
        <f>IF($A9="","",equipment_master!$W9)</f>
        <v>treasure_008</v>
      </c>
      <c r="P9" s="13">
        <f>IF($A9="","",equipment_master!$V9)</f>
        <v>8</v>
      </c>
    </row>
    <row r="10" spans="1:16">
      <c r="A10" s="13" t="str">
        <f>IF(equipment_master!$U10=FALSE,"",equipment_master!$A10)</f>
        <v>item_tool_explore_01</v>
      </c>
      <c r="B10" s="13" t="str">
        <f>IF($A10="","",equipment_master!$B10)</f>
        <v>高能放大鏡</v>
      </c>
      <c r="C10" s="13" t="str">
        <f>IF($A10="","",equipment_master!$D10)</f>
        <v>tool</v>
      </c>
      <c r="D10" s="13" t="str">
        <f>IF($A10="","",equipment_master!$E10)</f>
        <v>treasure</v>
      </c>
      <c r="E10" s="13" t="str">
        <f>IF($A10="","",equipment_master!$F10)</f>
        <v>rare</v>
      </c>
      <c r="F10" s="13" t="str">
        <f>IF($A10="","",equipment_master!$G10)</f>
        <v>tool_magnifier</v>
      </c>
      <c r="G10" s="13" t="str">
        <f>IF($A10="","",equipment_master!$H10)</f>
        <v>icon_magnifier</v>
      </c>
      <c r="H10" s="13" t="b">
        <f>IF($A10="","",equipment_master!$I10)</f>
        <v>0</v>
      </c>
      <c r="I10" s="13" t="str">
        <f>IF($A10="","",equipment_master!$J10)</f>
        <v>rareDropRate</v>
      </c>
      <c r="J10" s="13">
        <f>IF($A10="","",equipment_master!$K10)</f>
        <v>0.05</v>
      </c>
      <c r="K10" s="13" t="str">
        <f>IF($A10="","",equipment_master!$L10)</f>
        <v>none</v>
      </c>
      <c r="L10" s="13">
        <f>IF($A10="","",equipment_master!$M10)</f>
        <v>0</v>
      </c>
      <c r="M10" s="13" t="str">
        <f>IF($A10="","",equipment_master!$Q10)</f>
        <v>drop</v>
      </c>
      <c r="N10" s="13" t="str">
        <f>IF($A10="","",equipment_master!$R10)</f>
        <v>讓寶藏的細節變得更明顯</v>
      </c>
      <c r="O10" s="13" t="str">
        <f>IF($A10="","",equipment_master!$W10)</f>
        <v>treasure_009</v>
      </c>
      <c r="P10" s="13">
        <f>IF($A10="","",equipment_master!$V10)</f>
        <v>9</v>
      </c>
    </row>
    <row r="11" spans="1:16">
      <c r="A11" s="13" t="str">
        <f>IF(equipment_master!$U11=FALSE,"",equipment_master!$A11)</f>
        <v>item_hat_firefly_01</v>
      </c>
      <c r="B11" s="13" t="str">
        <f>IF($A11="","",equipment_master!$B11)</f>
        <v>螢光小帽</v>
      </c>
      <c r="C11" s="13" t="str">
        <f>IF($A11="","",equipment_master!$D11)</f>
        <v>hat</v>
      </c>
      <c r="D11" s="13" t="str">
        <f>IF($A11="","",equipment_master!$E11)</f>
        <v>firefly</v>
      </c>
      <c r="E11" s="13" t="str">
        <f>IF($A11="","",equipment_master!$F11)</f>
        <v>rare</v>
      </c>
      <c r="F11" s="13" t="str">
        <f>IF($A11="","",equipment_master!$G11)</f>
        <v>hat_firefly</v>
      </c>
      <c r="G11" s="13" t="str">
        <f>IF($A11="","",equipment_master!$H11)</f>
        <v>icon_hat_firefly</v>
      </c>
      <c r="H11" s="13" t="b">
        <f>IF($A11="","",equipment_master!$I11)</f>
        <v>0</v>
      </c>
      <c r="I11" s="13" t="str">
        <f>IF($A11="","",equipment_master!$J11)</f>
        <v>timeBonus</v>
      </c>
      <c r="J11" s="13">
        <f>IF($A11="","",equipment_master!$K11)</f>
        <v>3</v>
      </c>
      <c r="K11" s="13" t="str">
        <f>IF($A11="","",equipment_master!$L11)</f>
        <v>none</v>
      </c>
      <c r="L11" s="13">
        <f>IF($A11="","",equipment_master!$M11)</f>
        <v>0</v>
      </c>
      <c r="M11" s="13" t="str">
        <f>IF($A11="","",equipment_master!$Q11)</f>
        <v>drop</v>
      </c>
      <c r="N11" s="13" t="str">
        <f>IF($A11="","",equipment_master!$R11)</f>
        <v>夜晚的螢光會停留得更久</v>
      </c>
      <c r="O11" s="13" t="str">
        <f>IF($A11="","",equipment_master!$W11)</f>
        <v>firefly_010</v>
      </c>
      <c r="P11" s="13">
        <f>IF($A11="","",equipment_master!$V11)</f>
        <v>10</v>
      </c>
    </row>
    <row r="12" spans="1:16">
      <c r="A12" s="13" t="str">
        <f>IF(equipment_master!$U12=FALSE,"",equipment_master!$A12)</f>
        <v>item_cloth_firefly_01</v>
      </c>
      <c r="B12" s="13" t="str">
        <f>IF($A12="","",equipment_master!$B12)</f>
        <v>發光小背心</v>
      </c>
      <c r="C12" s="13" t="str">
        <f>IF($A12="","",equipment_master!$D12)</f>
        <v>cloth</v>
      </c>
      <c r="D12" s="13" t="str">
        <f>IF($A12="","",equipment_master!$E12)</f>
        <v>firefly</v>
      </c>
      <c r="E12" s="13" t="str">
        <f>IF($A12="","",equipment_master!$F12)</f>
        <v>rare</v>
      </c>
      <c r="F12" s="13" t="str">
        <f>IF($A12="","",equipment_master!$G12)</f>
        <v>cloth_firefly</v>
      </c>
      <c r="G12" s="13" t="str">
        <f>IF($A12="","",equipment_master!$H12)</f>
        <v>icon_cloth_firefly</v>
      </c>
      <c r="H12" s="13" t="b">
        <f>IF($A12="","",equipment_master!$I12)</f>
        <v>0</v>
      </c>
      <c r="I12" s="13" t="str">
        <f>IF($A12="","",equipment_master!$J12)</f>
        <v>rewardRate</v>
      </c>
      <c r="J12" s="13">
        <f>IF($A12="","",equipment_master!$K12)</f>
        <v>0.15</v>
      </c>
      <c r="K12" s="13" t="str">
        <f>IF($A12="","",equipment_master!$L12)</f>
        <v>none</v>
      </c>
      <c r="L12" s="13">
        <f>IF($A12="","",equipment_master!$M12)</f>
        <v>0</v>
      </c>
      <c r="M12" s="13" t="str">
        <f>IF($A12="","",equipment_master!$Q12)</f>
        <v>drop</v>
      </c>
      <c r="N12" s="13" t="str">
        <f>IF($A12="","",equipment_master!$R12)</f>
        <v>微微發光的小背心</v>
      </c>
      <c r="O12" s="13" t="str">
        <f>IF($A12="","",equipment_master!$W12)</f>
        <v>firefly_011</v>
      </c>
      <c r="P12" s="13">
        <f>IF($A12="","",equipment_master!$V12)</f>
        <v>11</v>
      </c>
    </row>
    <row r="13" spans="1:16">
      <c r="A13" s="13" t="str">
        <f>IF(equipment_master!$U13=FALSE,"",equipment_master!$A13)</f>
        <v>item_fullset_firefly_01</v>
      </c>
      <c r="B13" s="13" t="str">
        <f>IF($A13="","",equipment_master!$B13)</f>
        <v>森林精靈服</v>
      </c>
      <c r="C13" s="13" t="str">
        <f>IF($A13="","",equipment_master!$D13)</f>
        <v>fullset</v>
      </c>
      <c r="D13" s="13" t="str">
        <f>IF($A13="","",equipment_master!$E13)</f>
        <v>firefly</v>
      </c>
      <c r="E13" s="13" t="str">
        <f>IF($A13="","",equipment_master!$F13)</f>
        <v>rare</v>
      </c>
      <c r="F13" s="13" t="str">
        <f>IF($A13="","",equipment_master!$G13)</f>
        <v>fullset_firefly</v>
      </c>
      <c r="G13" s="13" t="str">
        <f>IF($A13="","",equipment_master!$H13)</f>
        <v>icon_fullset_firefly</v>
      </c>
      <c r="H13" s="13" t="b">
        <f>IF($A13="","",equipment_master!$I13)</f>
        <v>0</v>
      </c>
      <c r="I13" s="13" t="str">
        <f>IF($A13="","",equipment_master!$J13)</f>
        <v>extraMistake</v>
      </c>
      <c r="J13" s="13">
        <f>IF($A13="","",equipment_master!$K13)</f>
        <v>1</v>
      </c>
      <c r="K13" s="13" t="str">
        <f>IF($A13="","",equipment_master!$L13)</f>
        <v>none</v>
      </c>
      <c r="L13" s="13">
        <f>IF($A13="","",equipment_master!$M13)</f>
        <v>0</v>
      </c>
      <c r="M13" s="13" t="str">
        <f>IF($A13="","",equipment_master!$Q13)</f>
        <v>drop</v>
      </c>
      <c r="N13" s="13" t="str">
        <f>IF($A13="","",equipment_master!$R13)</f>
        <v>帶有森林魔法的精靈服</v>
      </c>
      <c r="O13" s="13" t="str">
        <f>IF($A13="","",equipment_master!$W13)</f>
        <v>firefly_012</v>
      </c>
      <c r="P13" s="13">
        <f>IF($A13="","",equipment_master!$V13)</f>
        <v>12</v>
      </c>
    </row>
    <row r="14" spans="1:16">
      <c r="A14" s="13" t="str">
        <f>IF(equipment_master!$U14=FALSE,"",equipment_master!$A14)</f>
        <v>item_tool_firefly_01</v>
      </c>
      <c r="B14" s="13" t="str">
        <f>IF($A14="","",equipment_master!$B14)</f>
        <v>許願玻璃瓶</v>
      </c>
      <c r="C14" s="13" t="str">
        <f>IF($A14="","",equipment_master!$D14)</f>
        <v>tool</v>
      </c>
      <c r="D14" s="13" t="str">
        <f>IF($A14="","",equipment_master!$E14)</f>
        <v>firefly</v>
      </c>
      <c r="E14" s="13" t="str">
        <f>IF($A14="","",equipment_master!$F14)</f>
        <v>rare</v>
      </c>
      <c r="F14" s="13" t="str">
        <f>IF($A14="","",equipment_master!$G14)</f>
        <v>tool_firefly_jar</v>
      </c>
      <c r="G14" s="13" t="str">
        <f>IF($A14="","",equipment_master!$H14)</f>
        <v>icon_firefly_jar</v>
      </c>
      <c r="H14" s="13" t="b">
        <f>IF($A14="","",equipment_master!$I14)</f>
        <v>0</v>
      </c>
      <c r="I14" s="13" t="str">
        <f>IF($A14="","",equipment_master!$J14)</f>
        <v>chestRate</v>
      </c>
      <c r="J14" s="13">
        <f>IF($A14="","",equipment_master!$K14)</f>
        <v>0.1</v>
      </c>
      <c r="K14" s="13" t="str">
        <f>IF($A14="","",equipment_master!$L14)</f>
        <v>none</v>
      </c>
      <c r="L14" s="13">
        <f>IF($A14="","",equipment_master!$M14)</f>
        <v>0</v>
      </c>
      <c r="M14" s="13" t="str">
        <f>IF($A14="","",equipment_master!$Q14)</f>
        <v>drop</v>
      </c>
      <c r="N14" s="13" t="str">
        <f>IF($A14="","",equipment_master!$R14)</f>
        <v>裝滿螢火蟲的玻璃瓶</v>
      </c>
      <c r="O14" s="13" t="str">
        <f>IF($A14="","",equipment_master!$W14)</f>
        <v>firefly_013</v>
      </c>
      <c r="P14" s="13">
        <f>IF($A14="","",equipment_master!$V14)</f>
        <v>13</v>
      </c>
    </row>
    <row r="15" spans="1:16">
      <c r="A15" s="13" t="str">
        <f>IF(equipment_master!$U15=FALSE,"",equipment_master!$A15)</f>
        <v>item_hat_campfire_01</v>
      </c>
      <c r="B15" s="13" t="str">
        <f>IF($A15="","",equipment_master!$B15)</f>
        <v>火焰廚師帽</v>
      </c>
      <c r="C15" s="13" t="str">
        <f>IF($A15="","",equipment_master!$D15)</f>
        <v>hat</v>
      </c>
      <c r="D15" s="13" t="str">
        <f>IF($A15="","",equipment_master!$E15)</f>
        <v>campfire</v>
      </c>
      <c r="E15" s="13" t="str">
        <f>IF($A15="","",equipment_master!$F15)</f>
        <v>rare</v>
      </c>
      <c r="F15" s="13" t="str">
        <f>IF($A15="","",equipment_master!$G15)</f>
        <v>hat_cook</v>
      </c>
      <c r="G15" s="13" t="str">
        <f>IF($A15="","",equipment_master!$H15)</f>
        <v>icon_hat_cook</v>
      </c>
      <c r="H15" s="13" t="b">
        <f>IF($A15="","",equipment_master!$I15)</f>
        <v>0</v>
      </c>
      <c r="I15" s="13" t="str">
        <f>IF($A15="","",equipment_master!$J15)</f>
        <v>timeBonus</v>
      </c>
      <c r="J15" s="13">
        <f>IF($A15="","",equipment_master!$K15)</f>
        <v>3</v>
      </c>
      <c r="K15" s="13" t="str">
        <f>IF($A15="","",equipment_master!$L15)</f>
        <v>none</v>
      </c>
      <c r="L15" s="13">
        <f>IF($A15="","",equipment_master!$M15)</f>
        <v>0</v>
      </c>
      <c r="M15" s="13" t="str">
        <f>IF($A15="","",equipment_master!$Q15)</f>
        <v>drop</v>
      </c>
      <c r="N15" s="13" t="str">
        <f>IF($A15="","",equipment_master!$R15)</f>
        <v>營火料理專用廚師帽</v>
      </c>
      <c r="O15" s="13" t="str">
        <f>IF($A15="","",equipment_master!$W15)</f>
        <v>campfire_014</v>
      </c>
      <c r="P15" s="13">
        <f>IF($A15="","",equipment_master!$V15)</f>
        <v>14</v>
      </c>
    </row>
    <row r="16" spans="1:16">
      <c r="A16" s="13" t="str">
        <f>IF(equipment_master!$U16=FALSE,"",equipment_master!$A16)</f>
        <v>item_cloth_campfire_01</v>
      </c>
      <c r="B16" s="13" t="str">
        <f>IF($A16="","",equipment_master!$B16)</f>
        <v>美味圍裙</v>
      </c>
      <c r="C16" s="13" t="str">
        <f>IF($A16="","",equipment_master!$D16)</f>
        <v>cloth</v>
      </c>
      <c r="D16" s="13" t="str">
        <f>IF($A16="","",equipment_master!$E16)</f>
        <v>campfire</v>
      </c>
      <c r="E16" s="13" t="str">
        <f>IF($A16="","",equipment_master!$F16)</f>
        <v>rare</v>
      </c>
      <c r="F16" s="13" t="str">
        <f>IF($A16="","",equipment_master!$G16)</f>
        <v>cloth_cook</v>
      </c>
      <c r="G16" s="13" t="str">
        <f>IF($A16="","",equipment_master!$H16)</f>
        <v>icon_cloth_cook</v>
      </c>
      <c r="H16" s="13" t="b">
        <f>IF($A16="","",equipment_master!$I16)</f>
        <v>0</v>
      </c>
      <c r="I16" s="13" t="str">
        <f>IF($A16="","",equipment_master!$J16)</f>
        <v>rewardRate</v>
      </c>
      <c r="J16" s="13">
        <f>IF($A16="","",equipment_master!$K16)</f>
        <v>0.2</v>
      </c>
      <c r="K16" s="13" t="str">
        <f>IF($A16="","",equipment_master!$L16)</f>
        <v>none</v>
      </c>
      <c r="L16" s="13">
        <f>IF($A16="","",equipment_master!$M16)</f>
        <v>0</v>
      </c>
      <c r="M16" s="13" t="str">
        <f>IF($A16="","",equipment_master!$Q16)</f>
        <v>drop</v>
      </c>
      <c r="N16" s="13" t="str">
        <f>IF($A16="","",equipment_master!$R16)</f>
        <v>料理時的必備圍裙</v>
      </c>
      <c r="O16" s="13" t="str">
        <f>IF($A16="","",equipment_master!$W16)</f>
        <v>campfire_015</v>
      </c>
      <c r="P16" s="13">
        <f>IF($A16="","",equipment_master!$V16)</f>
        <v>15</v>
      </c>
    </row>
    <row r="17" spans="1:16">
      <c r="A17" s="13" t="str">
        <f>IF(equipment_master!$U17=FALSE,"",equipment_master!$A17)</f>
        <v>item_fullset_campfire_01</v>
      </c>
      <c r="B17" s="13" t="str">
        <f>IF($A17="","",equipment_master!$B17)</f>
        <v>三星大廚袍</v>
      </c>
      <c r="C17" s="13" t="str">
        <f>IF($A17="","",equipment_master!$D17)</f>
        <v>fullset</v>
      </c>
      <c r="D17" s="13" t="str">
        <f>IF($A17="","",equipment_master!$E17)</f>
        <v>campfire</v>
      </c>
      <c r="E17" s="13" t="str">
        <f>IF($A17="","",equipment_master!$F17)</f>
        <v>rare</v>
      </c>
      <c r="F17" s="13" t="str">
        <f>IF($A17="","",equipment_master!$G17)</f>
        <v>fullset_cook</v>
      </c>
      <c r="G17" s="13" t="str">
        <f>IF($A17="","",equipment_master!$H17)</f>
        <v>icon_fullset_cook</v>
      </c>
      <c r="H17" s="13" t="b">
        <f>IF($A17="","",equipment_master!$I17)</f>
        <v>0</v>
      </c>
      <c r="I17" s="13" t="str">
        <f>IF($A17="","",equipment_master!$J17)</f>
        <v>extraMistake</v>
      </c>
      <c r="J17" s="13">
        <f>IF($A17="","",equipment_master!$K17)</f>
        <v>1</v>
      </c>
      <c r="K17" s="13" t="str">
        <f>IF($A17="","",equipment_master!$L17)</f>
        <v>none</v>
      </c>
      <c r="L17" s="13">
        <f>IF($A17="","",equipment_master!$M17)</f>
        <v>0</v>
      </c>
      <c r="M17" s="13" t="str">
        <f>IF($A17="","",equipment_master!$Q17)</f>
        <v>drop</v>
      </c>
      <c r="N17" s="13" t="str">
        <f>IF($A17="","",equipment_master!$R17)</f>
        <v>穿上就像營火料理大師</v>
      </c>
      <c r="O17" s="13" t="str">
        <f>IF($A17="","",equipment_master!$W17)</f>
        <v>campfire_016</v>
      </c>
      <c r="P17" s="13">
        <f>IF($A17="","",equipment_master!$V17)</f>
        <v>16</v>
      </c>
    </row>
    <row r="18" spans="1:16">
      <c r="A18" s="13" t="str">
        <f>IF(equipment_master!$U18=FALSE,"",equipment_master!$A18)</f>
        <v>item_tool_campfire_01</v>
      </c>
      <c r="B18" s="13" t="str">
        <f>IF($A18="","",equipment_master!$B18)</f>
        <v>黃金烤肉夾</v>
      </c>
      <c r="C18" s="13" t="str">
        <f>IF($A18="","",equipment_master!$D18)</f>
        <v>tool</v>
      </c>
      <c r="D18" s="13" t="str">
        <f>IF($A18="","",equipment_master!$E18)</f>
        <v>campfire</v>
      </c>
      <c r="E18" s="13" t="str">
        <f>IF($A18="","",equipment_master!$F18)</f>
        <v>rare</v>
      </c>
      <c r="F18" s="13" t="str">
        <f>IF($A18="","",equipment_master!$G18)</f>
        <v>tool_tongs</v>
      </c>
      <c r="G18" s="13" t="str">
        <f>IF($A18="","",equipment_master!$H18)</f>
        <v>icon_tongs</v>
      </c>
      <c r="H18" s="13" t="b">
        <f>IF($A18="","",equipment_master!$I18)</f>
        <v>0</v>
      </c>
      <c r="I18" s="13" t="str">
        <f>IF($A18="","",equipment_master!$J18)</f>
        <v>chestRate</v>
      </c>
      <c r="J18" s="13">
        <f>IF($A18="","",equipment_master!$K18)</f>
        <v>0.1</v>
      </c>
      <c r="K18" s="13" t="str">
        <f>IF($A18="","",equipment_master!$L18)</f>
        <v>none</v>
      </c>
      <c r="L18" s="13">
        <f>IF($A18="","",equipment_master!$M18)</f>
        <v>0</v>
      </c>
      <c r="M18" s="13" t="str">
        <f>IF($A18="","",equipment_master!$Q18)</f>
        <v>drop</v>
      </c>
      <c r="N18" s="13" t="str">
        <f>IF($A18="","",equipment_master!$R18)</f>
        <v>傳說中不會烤焦食物的夾子</v>
      </c>
      <c r="O18" s="13" t="str">
        <f>IF($A18="","",equipment_master!$W18)</f>
        <v>campfire_017</v>
      </c>
      <c r="P18" s="13">
        <f>IF($A18="","",equipment_master!$V18)</f>
        <v>17</v>
      </c>
    </row>
    <row r="19" spans="1:16" ht="29">
      <c r="A19" s="13" t="str">
        <f>IF(equipment_master!$U19=FALSE,"",equipment_master!$A19)</f>
        <v>item_hat_constellation_01</v>
      </c>
      <c r="B19" s="13" t="str">
        <f>IF($A19="","",equipment_master!$B19)</f>
        <v>星辰魔法帽</v>
      </c>
      <c r="C19" s="13" t="str">
        <f>IF($A19="","",equipment_master!$D19)</f>
        <v>hat</v>
      </c>
      <c r="D19" s="13" t="str">
        <f>IF($A19="","",equipment_master!$E19)</f>
        <v>constellation</v>
      </c>
      <c r="E19" s="13" t="str">
        <f>IF($A19="","",equipment_master!$F19)</f>
        <v>rare</v>
      </c>
      <c r="F19" s="13" t="str">
        <f>IF($A19="","",equipment_master!$G19)</f>
        <v>hat_constellation</v>
      </c>
      <c r="G19" s="13" t="str">
        <f>IF($A19="","",equipment_master!$H19)</f>
        <v>icon_hat_constellation</v>
      </c>
      <c r="H19" s="13" t="b">
        <f>IF($A19="","",equipment_master!$I19)</f>
        <v>0</v>
      </c>
      <c r="I19" s="13" t="str">
        <f>IF($A19="","",equipment_master!$J19)</f>
        <v>memoryHelp</v>
      </c>
      <c r="J19" s="13">
        <f>IF($A19="","",equipment_master!$K19)</f>
        <v>1</v>
      </c>
      <c r="K19" s="13" t="str">
        <f>IF($A19="","",equipment_master!$L19)</f>
        <v>none</v>
      </c>
      <c r="L19" s="13">
        <f>IF($A19="","",equipment_master!$M19)</f>
        <v>0</v>
      </c>
      <c r="M19" s="13" t="str">
        <f>IF($A19="","",equipment_master!$Q19)</f>
        <v>drop</v>
      </c>
      <c r="N19" s="13" t="str">
        <f>IF($A19="","",equipment_master!$R19)</f>
        <v>讓星星連線變得更清楚</v>
      </c>
      <c r="O19" s="13" t="str">
        <f>IF($A19="","",equipment_master!$W19)</f>
        <v>constellation_018</v>
      </c>
      <c r="P19" s="13">
        <f>IF($A19="","",equipment_master!$V19)</f>
        <v>18</v>
      </c>
    </row>
    <row r="20" spans="1:16" ht="29">
      <c r="A20" s="13" t="str">
        <f>IF(equipment_master!$U20=FALSE,"",equipment_master!$A20)</f>
        <v>item_cloth_constellation_01</v>
      </c>
      <c r="B20" s="13" t="str">
        <f>IF($A20="","",equipment_master!$B20)</f>
        <v>銀河特工衣</v>
      </c>
      <c r="C20" s="13" t="str">
        <f>IF($A20="","",equipment_master!$D20)</f>
        <v>cloth</v>
      </c>
      <c r="D20" s="13" t="str">
        <f>IF($A20="","",equipment_master!$E20)</f>
        <v>constellation</v>
      </c>
      <c r="E20" s="13" t="str">
        <f>IF($A20="","",equipment_master!$F20)</f>
        <v>rare</v>
      </c>
      <c r="F20" s="13" t="str">
        <f>IF($A20="","",equipment_master!$G20)</f>
        <v>cloth_constellation</v>
      </c>
      <c r="G20" s="13" t="str">
        <f>IF($A20="","",equipment_master!$H20)</f>
        <v>icon_cloth_constellation</v>
      </c>
      <c r="H20" s="13" t="b">
        <f>IF($A20="","",equipment_master!$I20)</f>
        <v>0</v>
      </c>
      <c r="I20" s="13" t="str">
        <f>IF($A20="","",equipment_master!$J20)</f>
        <v>rewardRate</v>
      </c>
      <c r="J20" s="13">
        <f>IF($A20="","",equipment_master!$K20)</f>
        <v>0.15</v>
      </c>
      <c r="K20" s="13" t="str">
        <f>IF($A20="","",equipment_master!$L20)</f>
        <v>none</v>
      </c>
      <c r="L20" s="13">
        <f>IF($A20="","",equipment_master!$M20)</f>
        <v>0</v>
      </c>
      <c r="M20" s="13" t="str">
        <f>IF($A20="","",equipment_master!$Q20)</f>
        <v>drop</v>
      </c>
      <c r="N20" s="13" t="str">
        <f>IF($A20="","",equipment_master!$R20)</f>
        <v>像銀河巡航員一樣帥氣</v>
      </c>
      <c r="O20" s="13" t="str">
        <f>IF($A20="","",equipment_master!$W20)</f>
        <v>constellation_019</v>
      </c>
      <c r="P20" s="13">
        <f>IF($A20="","",equipment_master!$V20)</f>
        <v>19</v>
      </c>
    </row>
    <row r="21" spans="1:16" ht="29">
      <c r="A21" s="13" t="str">
        <f>IF(equipment_master!$U21=FALSE,"",equipment_master!$A21)</f>
        <v>item_fullset_constellation_01</v>
      </c>
      <c r="B21" s="13" t="str">
        <f>IF($A21="","",equipment_master!$B21)</f>
        <v>小小太空人</v>
      </c>
      <c r="C21" s="13" t="str">
        <f>IF($A21="","",equipment_master!$D21)</f>
        <v>fullset</v>
      </c>
      <c r="D21" s="13" t="str">
        <f>IF($A21="","",equipment_master!$E21)</f>
        <v>constellation</v>
      </c>
      <c r="E21" s="13" t="str">
        <f>IF($A21="","",equipment_master!$F21)</f>
        <v>rare</v>
      </c>
      <c r="F21" s="13" t="str">
        <f>IF($A21="","",equipment_master!$G21)</f>
        <v>fullset_constellation</v>
      </c>
      <c r="G21" s="13" t="str">
        <f>IF($A21="","",equipment_master!$H21)</f>
        <v>icon_fullset_constellation</v>
      </c>
      <c r="H21" s="13" t="b">
        <f>IF($A21="","",equipment_master!$I21)</f>
        <v>0</v>
      </c>
      <c r="I21" s="13" t="str">
        <f>IF($A21="","",equipment_master!$J21)</f>
        <v>revealHint</v>
      </c>
      <c r="J21" s="13">
        <f>IF($A21="","",equipment_master!$K21)</f>
        <v>1</v>
      </c>
      <c r="K21" s="13" t="str">
        <f>IF($A21="","",equipment_master!$L21)</f>
        <v>none</v>
      </c>
      <c r="L21" s="13">
        <f>IF($A21="","",equipment_master!$M21)</f>
        <v>0</v>
      </c>
      <c r="M21" s="13" t="str">
        <f>IF($A21="","",equipment_master!$Q21)</f>
        <v>drop</v>
      </c>
      <c r="N21" s="13" t="str">
        <f>IF($A21="","",equipment_master!$R21)</f>
        <v>穿上後像在夜空裡旅行</v>
      </c>
      <c r="O21" s="13" t="str">
        <f>IF($A21="","",equipment_master!$W21)</f>
        <v>constellation_020</v>
      </c>
      <c r="P21" s="13">
        <f>IF($A21="","",equipment_master!$V21)</f>
        <v>20</v>
      </c>
    </row>
    <row r="22" spans="1:16" ht="29">
      <c r="A22" s="13" t="str">
        <f>IF(equipment_master!$U22=FALSE,"",equipment_master!$A22)</f>
        <v>item_tool_constellation_01</v>
      </c>
      <c r="B22" s="13" t="str">
        <f>IF($A22="","",equipment_master!$B22)</f>
        <v>星光連線筆</v>
      </c>
      <c r="C22" s="13" t="str">
        <f>IF($A22="","",equipment_master!$D22)</f>
        <v>tool</v>
      </c>
      <c r="D22" s="13" t="str">
        <f>IF($A22="","",equipment_master!$E22)</f>
        <v>constellation</v>
      </c>
      <c r="E22" s="13" t="str">
        <f>IF($A22="","",equipment_master!$F22)</f>
        <v>rare</v>
      </c>
      <c r="F22" s="13" t="str">
        <f>IF($A22="","",equipment_master!$G22)</f>
        <v>tool_star_pen</v>
      </c>
      <c r="G22" s="13" t="str">
        <f>IF($A22="","",equipment_master!$H22)</f>
        <v>icon_star_pen</v>
      </c>
      <c r="H22" s="13" t="b">
        <f>IF($A22="","",equipment_master!$I22)</f>
        <v>0</v>
      </c>
      <c r="I22" s="13" t="str">
        <f>IF($A22="","",equipment_master!$J22)</f>
        <v>timeBonus</v>
      </c>
      <c r="J22" s="13">
        <f>IF($A22="","",equipment_master!$K22)</f>
        <v>3</v>
      </c>
      <c r="K22" s="13" t="str">
        <f>IF($A22="","",equipment_master!$L22)</f>
        <v>none</v>
      </c>
      <c r="L22" s="13">
        <f>IF($A22="","",equipment_master!$M22)</f>
        <v>0</v>
      </c>
      <c r="M22" s="13" t="str">
        <f>IF($A22="","",equipment_master!$Q22)</f>
        <v>drop</v>
      </c>
      <c r="N22" s="13" t="str">
        <f>IF($A22="","",equipment_master!$R22)</f>
        <v>幫助你畫出完整的星座軌跡</v>
      </c>
      <c r="O22" s="13" t="str">
        <f>IF($A22="","",equipment_master!$W22)</f>
        <v>constellation_021</v>
      </c>
      <c r="P22" s="13">
        <f>IF($A22="","",equipment_master!$V22)</f>
        <v>21</v>
      </c>
    </row>
    <row r="23" spans="1:16">
      <c r="A23" s="13" t="str">
        <f>IF(equipment_master!$U23=FALSE,"",equipment_master!$A23)</f>
        <v>item_hat_animals_01</v>
      </c>
      <c r="B23" s="13" t="str">
        <f>IF($A23="","",equipment_master!$B23)</f>
        <v>動物耳朵帽</v>
      </c>
      <c r="C23" s="13" t="str">
        <f>IF($A23="","",equipment_master!$D23)</f>
        <v>hat</v>
      </c>
      <c r="D23" s="13" t="str">
        <f>IF($A23="","",equipment_master!$E23)</f>
        <v>animals</v>
      </c>
      <c r="E23" s="13" t="str">
        <f>IF($A23="","",equipment_master!$F23)</f>
        <v>rare</v>
      </c>
      <c r="F23" s="13" t="str">
        <f>IF($A23="","",equipment_master!$G23)</f>
        <v>hat_animals</v>
      </c>
      <c r="G23" s="13" t="str">
        <f>IF($A23="","",equipment_master!$H23)</f>
        <v>icon_hat_animals</v>
      </c>
      <c r="H23" s="13" t="b">
        <f>IF($A23="","",equipment_master!$I23)</f>
        <v>0</v>
      </c>
      <c r="I23" s="13" t="str">
        <f>IF($A23="","",equipment_master!$J23)</f>
        <v>revealHint</v>
      </c>
      <c r="J23" s="13">
        <f>IF($A23="","",equipment_master!$K23)</f>
        <v>1</v>
      </c>
      <c r="K23" s="13" t="str">
        <f>IF($A23="","",equipment_master!$L23)</f>
        <v>none</v>
      </c>
      <c r="L23" s="13">
        <f>IF($A23="","",equipment_master!$M23)</f>
        <v>0</v>
      </c>
      <c r="M23" s="13" t="str">
        <f>IF($A23="","",equipment_master!$Q23)</f>
        <v>drop</v>
      </c>
      <c r="N23" s="13" t="str">
        <f>IF($A23="","",equipment_master!$R23)</f>
        <v>可愛的動物耳朵帽</v>
      </c>
      <c r="O23" s="13" t="str">
        <f>IF($A23="","",equipment_master!$W23)</f>
        <v>animals_022</v>
      </c>
      <c r="P23" s="13">
        <f>IF($A23="","",equipment_master!$V23)</f>
        <v>22</v>
      </c>
    </row>
    <row r="24" spans="1:16">
      <c r="A24" s="13" t="str">
        <f>IF(equipment_master!$U24=FALSE,"",equipment_master!$A24)</f>
        <v>item_cloth_animals_01</v>
      </c>
      <c r="B24" s="13" t="str">
        <f>IF($A24="","",equipment_master!$B24)</f>
        <v>排隊小隊長服</v>
      </c>
      <c r="C24" s="13" t="str">
        <f>IF($A24="","",equipment_master!$D24)</f>
        <v>cloth</v>
      </c>
      <c r="D24" s="13" t="str">
        <f>IF($A24="","",equipment_master!$E24)</f>
        <v>animals</v>
      </c>
      <c r="E24" s="13" t="str">
        <f>IF($A24="","",equipment_master!$F24)</f>
        <v>rare</v>
      </c>
      <c r="F24" s="13" t="str">
        <f>IF($A24="","",equipment_master!$G24)</f>
        <v>cloth_animals</v>
      </c>
      <c r="G24" s="13" t="str">
        <f>IF($A24="","",equipment_master!$H24)</f>
        <v>icon_cloth_animals</v>
      </c>
      <c r="H24" s="13" t="b">
        <f>IF($A24="","",equipment_master!$I24)</f>
        <v>0</v>
      </c>
      <c r="I24" s="13" t="str">
        <f>IF($A24="","",equipment_master!$J24)</f>
        <v>slowDown</v>
      </c>
      <c r="J24" s="13">
        <f>IF($A24="","",equipment_master!$K24)</f>
        <v>0.15</v>
      </c>
      <c r="K24" s="13" t="str">
        <f>IF($A24="","",equipment_master!$L24)</f>
        <v>none</v>
      </c>
      <c r="L24" s="13">
        <f>IF($A24="","",equipment_master!$M24)</f>
        <v>0</v>
      </c>
      <c r="M24" s="13" t="str">
        <f>IF($A24="","",equipment_master!$Q24)</f>
        <v>drop</v>
      </c>
      <c r="N24" s="13" t="str">
        <f>IF($A24="","",equipment_master!$R24)</f>
        <v>讓動物排隊節奏慢一些</v>
      </c>
      <c r="O24" s="13" t="str">
        <f>IF($A24="","",equipment_master!$W24)</f>
        <v>animals_023</v>
      </c>
      <c r="P24" s="13">
        <f>IF($A24="","",equipment_master!$V24)</f>
        <v>23</v>
      </c>
    </row>
    <row r="25" spans="1:16">
      <c r="A25" s="13" t="str">
        <f>IF(equipment_master!$U25=FALSE,"",equipment_master!$A25)</f>
        <v>item_fullset_animals_01</v>
      </c>
      <c r="B25" s="13" t="str">
        <f>IF($A25="","",equipment_master!$B25)</f>
        <v>毛茸茸熊裝</v>
      </c>
      <c r="C25" s="13" t="str">
        <f>IF($A25="","",equipment_master!$D25)</f>
        <v>fullset</v>
      </c>
      <c r="D25" s="13" t="str">
        <f>IF($A25="","",equipment_master!$E25)</f>
        <v>animals</v>
      </c>
      <c r="E25" s="13" t="str">
        <f>IF($A25="","",equipment_master!$F25)</f>
        <v>rare</v>
      </c>
      <c r="F25" s="13" t="str">
        <f>IF($A25="","",equipment_master!$G25)</f>
        <v>fullset_animals</v>
      </c>
      <c r="G25" s="13" t="str">
        <f>IF($A25="","",equipment_master!$H25)</f>
        <v>icon_fullset_animals</v>
      </c>
      <c r="H25" s="13" t="b">
        <f>IF($A25="","",equipment_master!$I25)</f>
        <v>0</v>
      </c>
      <c r="I25" s="13" t="str">
        <f>IF($A25="","",equipment_master!$J25)</f>
        <v>extraMistake</v>
      </c>
      <c r="J25" s="13">
        <f>IF($A25="","",equipment_master!$K25)</f>
        <v>1</v>
      </c>
      <c r="K25" s="13" t="str">
        <f>IF($A25="","",equipment_master!$L25)</f>
        <v>none</v>
      </c>
      <c r="L25" s="13">
        <f>IF($A25="","",equipment_master!$M25)</f>
        <v>0</v>
      </c>
      <c r="M25" s="13" t="str">
        <f>IF($A25="","",equipment_master!$Q25)</f>
        <v>drop</v>
      </c>
      <c r="N25" s="13" t="str">
        <f>IF($A25="","",equipment_master!$R25)</f>
        <v>毛茸茸的熊熊套裝</v>
      </c>
      <c r="O25" s="13" t="str">
        <f>IF($A25="","",equipment_master!$W25)</f>
        <v>animals_024</v>
      </c>
      <c r="P25" s="13">
        <f>IF($A25="","",equipment_master!$V25)</f>
        <v>24</v>
      </c>
    </row>
    <row r="26" spans="1:16">
      <c r="A26" s="13" t="str">
        <f>IF(equipment_master!$U26=FALSE,"",equipment_master!$A26)</f>
        <v>item_tool_animals_01</v>
      </c>
      <c r="B26" s="13" t="str">
        <f>IF($A26="","",equipment_master!$B26)</f>
        <v>森林指揮棒</v>
      </c>
      <c r="C26" s="13" t="str">
        <f>IF($A26="","",equipment_master!$D26)</f>
        <v>tool</v>
      </c>
      <c r="D26" s="13" t="str">
        <f>IF($A26="","",equipment_master!$E26)</f>
        <v>animals</v>
      </c>
      <c r="E26" s="13" t="str">
        <f>IF($A26="","",equipment_master!$F26)</f>
        <v>rare</v>
      </c>
      <c r="F26" s="13" t="str">
        <f>IF($A26="","",equipment_master!$G26)</f>
        <v>tool_baton</v>
      </c>
      <c r="G26" s="13" t="str">
        <f>IF($A26="","",equipment_master!$H26)</f>
        <v>icon_baton</v>
      </c>
      <c r="H26" s="13" t="b">
        <f>IF($A26="","",equipment_master!$I26)</f>
        <v>0</v>
      </c>
      <c r="I26" s="13" t="str">
        <f>IF($A26="","",equipment_master!$J26)</f>
        <v>rewardRate</v>
      </c>
      <c r="J26" s="13">
        <f>IF($A26="","",equipment_master!$K26)</f>
        <v>0.15</v>
      </c>
      <c r="K26" s="13" t="str">
        <f>IF($A26="","",equipment_master!$L26)</f>
        <v>none</v>
      </c>
      <c r="L26" s="13">
        <f>IF($A26="","",equipment_master!$M26)</f>
        <v>0</v>
      </c>
      <c r="M26" s="13" t="str">
        <f>IF($A26="","",equipment_master!$Q26)</f>
        <v>drop</v>
      </c>
      <c r="N26" s="13" t="str">
        <f>IF($A26="","",equipment_master!$R26)</f>
        <v>揮一揮，動物們就排好隊</v>
      </c>
      <c r="O26" s="13" t="str">
        <f>IF($A26="","",equipment_master!$W26)</f>
        <v>animals_025</v>
      </c>
      <c r="P26" s="13">
        <f>IF($A26="","",equipment_master!$V26)</f>
        <v>25</v>
      </c>
    </row>
    <row r="27" spans="1:16">
      <c r="A27" s="13" t="str">
        <f>IF(equipment_master!$U27=FALSE,"",equipment_master!$A27)</f>
        <v>item_hat_global_01</v>
      </c>
      <c r="B27" s="13" t="str">
        <f>IF($A27="","",equipment_master!$B27)</f>
        <v>紅色運動帽</v>
      </c>
      <c r="C27" s="13" t="str">
        <f>IF($A27="","",equipment_master!$D27)</f>
        <v>hat</v>
      </c>
      <c r="D27" s="13" t="str">
        <f>IF($A27="","",equipment_master!$E27)</f>
        <v>global</v>
      </c>
      <c r="E27" s="13" t="str">
        <f>IF($A27="","",equipment_master!$F27)</f>
        <v>common</v>
      </c>
      <c r="F27" s="13" t="str">
        <f>IF($A27="","",equipment_master!$G27)</f>
        <v>hat_red_sport</v>
      </c>
      <c r="G27" s="13" t="str">
        <f>IF($A27="","",equipment_master!$H27)</f>
        <v>icon_hat_red_sport</v>
      </c>
      <c r="H27" s="13" t="b">
        <f>IF($A27="","",equipment_master!$I27)</f>
        <v>0</v>
      </c>
      <c r="I27" s="13" t="str">
        <f>IF($A27="","",equipment_master!$J27)</f>
        <v>extraPlayCount</v>
      </c>
      <c r="J27" s="13">
        <f>IF($A27="","",equipment_master!$K27)</f>
        <v>1</v>
      </c>
      <c r="K27" s="13" t="str">
        <f>IF($A27="","",equipment_master!$L27)</f>
        <v>none</v>
      </c>
      <c r="L27" s="13">
        <f>IF($A27="","",equipment_master!$M27)</f>
        <v>0</v>
      </c>
      <c r="M27" s="13" t="str">
        <f>IF($A27="","",equipment_master!$Q27)</f>
        <v>shop</v>
      </c>
      <c r="N27" s="13" t="str">
        <f>IF($A27="","",equipment_master!$R27)</f>
        <v>運動風的紅色帽子</v>
      </c>
      <c r="O27" s="13" t="str">
        <f>IF($A27="","",equipment_master!$W27)</f>
        <v>global_026</v>
      </c>
      <c r="P27" s="13">
        <f>IF($A27="","",equipment_master!$V27)</f>
        <v>26</v>
      </c>
    </row>
    <row r="28" spans="1:16">
      <c r="A28" s="13" t="str">
        <f>IF(equipment_master!$U28=FALSE,"",equipment_master!$A28)</f>
        <v>item_cloth_global_01</v>
      </c>
      <c r="B28" s="13" t="str">
        <f>IF($A28="","",equipment_master!$B28)</f>
        <v>紅色運動服</v>
      </c>
      <c r="C28" s="13" t="str">
        <f>IF($A28="","",equipment_master!$D28)</f>
        <v>cloth</v>
      </c>
      <c r="D28" s="13" t="str">
        <f>IF($A28="","",equipment_master!$E28)</f>
        <v>global</v>
      </c>
      <c r="E28" s="13" t="str">
        <f>IF($A28="","",equipment_master!$F28)</f>
        <v>common</v>
      </c>
      <c r="F28" s="13" t="str">
        <f>IF($A28="","",equipment_master!$G28)</f>
        <v>cloth_red_sport</v>
      </c>
      <c r="G28" s="13" t="str">
        <f>IF($A28="","",equipment_master!$H28)</f>
        <v>icon_cloth_red_sport</v>
      </c>
      <c r="H28" s="13" t="b">
        <f>IF($A28="","",equipment_master!$I28)</f>
        <v>0</v>
      </c>
      <c r="I28" s="13" t="str">
        <f>IF($A28="","",equipment_master!$J28)</f>
        <v>rewardRate</v>
      </c>
      <c r="J28" s="13">
        <f>IF($A28="","",equipment_master!$K28)</f>
        <v>0.1</v>
      </c>
      <c r="K28" s="13" t="str">
        <f>IF($A28="","",equipment_master!$L28)</f>
        <v>none</v>
      </c>
      <c r="L28" s="13">
        <f>IF($A28="","",equipment_master!$M28)</f>
        <v>0</v>
      </c>
      <c r="M28" s="13" t="str">
        <f>IF($A28="","",equipment_master!$Q28)</f>
        <v>shop</v>
      </c>
      <c r="N28" s="13" t="str">
        <f>IF($A28="","",equipment_master!$R28)</f>
        <v>大人帶幼兒園的運動服</v>
      </c>
      <c r="O28" s="13" t="str">
        <f>IF($A28="","",equipment_master!$W28)</f>
        <v>global_027</v>
      </c>
      <c r="P28" s="13">
        <f>IF($A28="","",equipment_master!$V28)</f>
        <v>27</v>
      </c>
    </row>
    <row r="29" spans="1:16">
      <c r="A29" s="13" t="str">
        <f>IF(equipment_master!$U29=FALSE,"",equipment_master!$A29)</f>
        <v>item_fullset_global_01</v>
      </c>
      <c r="B29" s="13" t="str">
        <f>IF($A29="","",equipment_master!$B29)</f>
        <v>五迷服</v>
      </c>
      <c r="C29" s="13" t="str">
        <f>IF($A29="","",equipment_master!$D29)</f>
        <v>fullset</v>
      </c>
      <c r="D29" s="13" t="str">
        <f>IF($A29="","",equipment_master!$E29)</f>
        <v>global</v>
      </c>
      <c r="E29" s="13" t="str">
        <f>IF($A29="","",equipment_master!$F29)</f>
        <v>common</v>
      </c>
      <c r="F29" s="13" t="str">
        <f>IF($A29="","",equipment_master!$G29)</f>
        <v>fullset_fan</v>
      </c>
      <c r="G29" s="13" t="str">
        <f>IF($A29="","",equipment_master!$H29)</f>
        <v>icon_fullset_fan</v>
      </c>
      <c r="H29" s="13" t="b">
        <f>IF($A29="","",equipment_master!$I29)</f>
        <v>0</v>
      </c>
      <c r="I29" s="13" t="str">
        <f>IF($A29="","",equipment_master!$J29)</f>
        <v>rewardRate</v>
      </c>
      <c r="J29" s="13">
        <f>IF($A29="","",equipment_master!$K29)</f>
        <v>0.1</v>
      </c>
      <c r="K29" s="13" t="str">
        <f>IF($A29="","",equipment_master!$L29)</f>
        <v>dropRate</v>
      </c>
      <c r="L29" s="13">
        <f>IF($A29="","",equipment_master!$M29)</f>
        <v>0.05</v>
      </c>
      <c r="M29" s="13" t="str">
        <f>IF($A29="","",equipment_master!$Q29)</f>
        <v>event</v>
      </c>
      <c r="N29" s="13" t="str">
        <f>IF($A29="","",equipment_master!$R29)</f>
        <v>五月大的小粉絲</v>
      </c>
      <c r="O29" s="13" t="str">
        <f>IF($A29="","",equipment_master!$W29)</f>
        <v>global_028</v>
      </c>
      <c r="P29" s="13">
        <f>IF($A29="","",equipment_master!$V29)</f>
        <v>28</v>
      </c>
    </row>
    <row r="30" spans="1:16">
      <c r="A30" s="13" t="str">
        <f>IF(equipment_master!$U30=FALSE,"",equipment_master!$A30)</f>
        <v>item_tool_global_01</v>
      </c>
      <c r="B30" s="13" t="str">
        <f>IF($A30="","",equipment_master!$B30)</f>
        <v>幸運吊飾</v>
      </c>
      <c r="C30" s="13" t="str">
        <f>IF($A30="","",equipment_master!$D30)</f>
        <v>tool</v>
      </c>
      <c r="D30" s="13" t="str">
        <f>IF($A30="","",equipment_master!$E30)</f>
        <v>global</v>
      </c>
      <c r="E30" s="13" t="str">
        <f>IF($A30="","",equipment_master!$F30)</f>
        <v>rare</v>
      </c>
      <c r="F30" s="13" t="str">
        <f>IF($A30="","",equipment_master!$G30)</f>
        <v>tool_charm</v>
      </c>
      <c r="G30" s="13" t="str">
        <f>IF($A30="","",equipment_master!$H30)</f>
        <v>icon_charm</v>
      </c>
      <c r="H30" s="13" t="b">
        <f>IF($A30="","",equipment_master!$I30)</f>
        <v>0</v>
      </c>
      <c r="I30" s="13" t="str">
        <f>IF($A30="","",equipment_master!$J30)</f>
        <v>chestRate</v>
      </c>
      <c r="J30" s="13">
        <f>IF($A30="","",equipment_master!$K30)</f>
        <v>0.08</v>
      </c>
      <c r="K30" s="13" t="str">
        <f>IF($A30="","",equipment_master!$L30)</f>
        <v>none</v>
      </c>
      <c r="L30" s="13">
        <f>IF($A30="","",equipment_master!$M30)</f>
        <v>0</v>
      </c>
      <c r="M30" s="13" t="str">
        <f>IF($A30="","",equipment_master!$Q30)</f>
        <v>shop</v>
      </c>
      <c r="N30" s="13" t="str">
        <f>IF($A30="","",equipment_master!$R30)</f>
        <v>掛在背包上會帶來好運</v>
      </c>
      <c r="O30" s="13" t="str">
        <f>IF($A30="","",equipment_master!$W30)</f>
        <v>global_029</v>
      </c>
      <c r="P30" s="13">
        <f>IF($A30="","",equipment_master!$V30)</f>
        <v>29</v>
      </c>
    </row>
    <row r="31" spans="1:16">
      <c r="A31" s="13" t="str">
        <f>IF(equipment_master!$U31=FALSE,"",equipment_master!$A31)</f>
        <v>item_fullset_secret_guard</v>
      </c>
      <c r="B31" s="13" t="str">
        <f>IF($A31="","",equipment_master!$B31)</f>
        <v>母上的守護</v>
      </c>
      <c r="C31" s="13" t="str">
        <f>IF($A31="","",equipment_master!$D31)</f>
        <v>fullset</v>
      </c>
      <c r="D31" s="13" t="str">
        <f>IF($A31="","",equipment_master!$E31)</f>
        <v>secret</v>
      </c>
      <c r="E31" s="13" t="str">
        <f>IF($A31="","",equipment_master!$F31)</f>
        <v>legend</v>
      </c>
      <c r="F31" s="13" t="str">
        <f>IF($A31="","",equipment_master!$G31)</f>
        <v>fullset_guard</v>
      </c>
      <c r="G31" s="13" t="str">
        <f>IF($A31="","",equipment_master!$H31)</f>
        <v>icon_guard</v>
      </c>
      <c r="H31" s="13" t="b">
        <f>IF($A31="","",equipment_master!$I31)</f>
        <v>0</v>
      </c>
      <c r="I31" s="13" t="str">
        <f>IF($A31="","",equipment_master!$J31)</f>
        <v>freeEntry</v>
      </c>
      <c r="J31" s="13">
        <f>IF($A31="","",equipment_master!$K31)</f>
        <v>1</v>
      </c>
      <c r="K31" s="13" t="str">
        <f>IF($A31="","",equipment_master!$L31)</f>
        <v>freeStageEntry</v>
      </c>
      <c r="L31" s="13">
        <f>IF($A31="","",equipment_master!$M31)</f>
        <v>1</v>
      </c>
      <c r="M31" s="13" t="str">
        <f>IF($A31="","",equipment_master!$Q31)</f>
        <v>secret</v>
      </c>
      <c r="N31" s="13" t="str">
        <f>IF($A31="","",equipment_master!$R31)</f>
        <v>感受到了母親大人的愛意</v>
      </c>
      <c r="O31" s="13" t="str">
        <f>IF($A31="","",equipment_master!$W31)</f>
        <v>secret_030</v>
      </c>
      <c r="P31" s="13">
        <f>IF($A31="","",equipment_master!$V31)</f>
        <v>30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FAEB-4F5A-4E06-81CB-DE4351F46599}">
  <dimension ref="A1:C568"/>
  <sheetViews>
    <sheetView tabSelected="1" topLeftCell="A10" workbookViewId="0">
      <selection sqref="A1:XFD1048576"/>
    </sheetView>
  </sheetViews>
  <sheetFormatPr defaultRowHeight="14.5"/>
  <sheetData>
    <row r="1" spans="1:1">
      <c r="A1" s="18" t="s">
        <v>279</v>
      </c>
    </row>
    <row r="3" spans="1:1">
      <c r="A3" t="s">
        <v>280</v>
      </c>
    </row>
    <row r="4" spans="1:1">
      <c r="A4" s="19"/>
    </row>
    <row r="5" spans="1:1">
      <c r="A5" s="19" t="s">
        <v>281</v>
      </c>
    </row>
    <row r="6" spans="1:1">
      <c r="A6" s="19"/>
    </row>
    <row r="7" spans="1:1">
      <c r="A7" s="19" t="s">
        <v>282</v>
      </c>
    </row>
    <row r="8" spans="1:1">
      <c r="A8" s="19"/>
    </row>
    <row r="9" spans="1:1">
      <c r="A9" s="19" t="s">
        <v>283</v>
      </c>
    </row>
    <row r="10" spans="1:1">
      <c r="A10" s="19"/>
    </row>
    <row r="11" spans="1:1">
      <c r="A11" s="19" t="s">
        <v>284</v>
      </c>
    </row>
    <row r="15" spans="1:1" ht="33.5">
      <c r="A15" s="21" t="s">
        <v>285</v>
      </c>
    </row>
    <row r="17" spans="1:1" ht="25">
      <c r="A17" s="22" t="s">
        <v>286</v>
      </c>
    </row>
    <row r="19" spans="1:1">
      <c r="A19" t="s">
        <v>287</v>
      </c>
    </row>
    <row r="21" spans="1:1" ht="25">
      <c r="A21" s="22" t="s">
        <v>288</v>
      </c>
    </row>
    <row r="23" spans="1:1">
      <c r="A23" t="s">
        <v>289</v>
      </c>
    </row>
    <row r="25" spans="1:1" ht="25">
      <c r="A25" s="22" t="s">
        <v>290</v>
      </c>
    </row>
    <row r="27" spans="1:1">
      <c r="A27" t="s">
        <v>291</v>
      </c>
    </row>
    <row r="29" spans="1:1">
      <c r="A29" t="s">
        <v>292</v>
      </c>
    </row>
    <row r="33" spans="1:1" ht="33.5">
      <c r="A33" s="21" t="s">
        <v>293</v>
      </c>
    </row>
    <row r="35" spans="1:1">
      <c r="A35" t="s">
        <v>294</v>
      </c>
    </row>
    <row r="36" spans="1:1">
      <c r="A36" s="20"/>
    </row>
    <row r="37" spans="1:1">
      <c r="A37" s="23" t="s">
        <v>295</v>
      </c>
    </row>
    <row r="39" spans="1:1">
      <c r="A39" t="s">
        <v>296</v>
      </c>
    </row>
    <row r="40" spans="1:1">
      <c r="A40" s="20"/>
    </row>
    <row r="41" spans="1:1">
      <c r="A41" s="23" t="s">
        <v>297</v>
      </c>
    </row>
    <row r="42" spans="1:1">
      <c r="A42" s="23" t="s">
        <v>298</v>
      </c>
    </row>
    <row r="43" spans="1:1">
      <c r="A43" s="23" t="s">
        <v>299</v>
      </c>
    </row>
    <row r="44" spans="1:1">
      <c r="A44" s="23" t="s">
        <v>300</v>
      </c>
    </row>
    <row r="48" spans="1:1" ht="25">
      <c r="A48" s="25" t="s">
        <v>301</v>
      </c>
    </row>
    <row r="49" spans="1:1">
      <c r="A49" s="20"/>
    </row>
    <row r="50" spans="1:1">
      <c r="A50" s="23" t="s">
        <v>20</v>
      </c>
    </row>
    <row r="51" spans="1:1">
      <c r="A51" s="23" t="s">
        <v>26</v>
      </c>
    </row>
    <row r="52" spans="1:1">
      <c r="A52" s="23" t="s">
        <v>33</v>
      </c>
    </row>
    <row r="54" spans="1:1">
      <c r="A54" t="s">
        <v>302</v>
      </c>
    </row>
    <row r="55" spans="1:1">
      <c r="A55" s="20"/>
    </row>
    <row r="56" spans="1:1">
      <c r="A56" s="23" t="s">
        <v>303</v>
      </c>
    </row>
    <row r="57" spans="1:1">
      <c r="A57" s="23" t="s">
        <v>304</v>
      </c>
    </row>
    <row r="58" spans="1:1">
      <c r="A58" s="23" t="s">
        <v>305</v>
      </c>
    </row>
    <row r="60" spans="1:1">
      <c r="A60" t="s">
        <v>306</v>
      </c>
    </row>
    <row r="64" spans="1:1" ht="25">
      <c r="A64" s="25" t="s">
        <v>307</v>
      </c>
    </row>
    <row r="66" spans="1:1">
      <c r="A66" t="s">
        <v>308</v>
      </c>
    </row>
    <row r="67" spans="1:1">
      <c r="A67" s="20"/>
    </row>
    <row r="68" spans="1:1">
      <c r="A68" s="23" t="s">
        <v>309</v>
      </c>
    </row>
    <row r="69" spans="1:1">
      <c r="A69" s="23" t="s">
        <v>310</v>
      </c>
    </row>
    <row r="70" spans="1:1">
      <c r="A70" s="23" t="s">
        <v>311</v>
      </c>
    </row>
    <row r="71" spans="1:1">
      <c r="A71" s="23" t="s">
        <v>312</v>
      </c>
    </row>
    <row r="72" spans="1:1">
      <c r="A72" s="23" t="s">
        <v>313</v>
      </c>
    </row>
    <row r="73" spans="1:1">
      <c r="A73" s="23" t="s">
        <v>314</v>
      </c>
    </row>
    <row r="77" spans="1:1" ht="25">
      <c r="A77" s="22" t="s">
        <v>315</v>
      </c>
    </row>
    <row r="79" spans="1:1">
      <c r="A79" t="s">
        <v>316</v>
      </c>
    </row>
    <row r="80" spans="1:1">
      <c r="A80" s="20"/>
    </row>
    <row r="81" spans="1:1">
      <c r="A81" s="23" t="s">
        <v>51</v>
      </c>
    </row>
    <row r="82" spans="1:1">
      <c r="A82" s="23" t="s">
        <v>317</v>
      </c>
    </row>
    <row r="83" spans="1:1">
      <c r="A83" s="23" t="s">
        <v>40</v>
      </c>
    </row>
    <row r="84" spans="1:1">
      <c r="A84" s="23" t="s">
        <v>34</v>
      </c>
    </row>
    <row r="85" spans="1:1">
      <c r="A85" s="23" t="s">
        <v>318</v>
      </c>
    </row>
    <row r="86" spans="1:1">
      <c r="A86" s="23" t="s">
        <v>50</v>
      </c>
    </row>
    <row r="87" spans="1:1">
      <c r="A87" s="23" t="s">
        <v>319</v>
      </c>
    </row>
    <row r="89" spans="1:1">
      <c r="A89" t="s">
        <v>320</v>
      </c>
    </row>
    <row r="90" spans="1:1">
      <c r="A90" s="20"/>
    </row>
    <row r="91" spans="1:1">
      <c r="A91" s="23" t="s">
        <v>321</v>
      </c>
    </row>
    <row r="93" spans="1:1">
      <c r="A93" t="s">
        <v>322</v>
      </c>
    </row>
    <row r="97" spans="1:1" ht="33.5">
      <c r="A97" s="21" t="s">
        <v>323</v>
      </c>
    </row>
    <row r="99" spans="1:1">
      <c r="A99" t="s">
        <v>324</v>
      </c>
    </row>
    <row r="100" spans="1:1">
      <c r="A100" t="s">
        <v>325</v>
      </c>
    </row>
    <row r="101" spans="1:1">
      <c r="A101" s="20"/>
    </row>
    <row r="102" spans="1:1">
      <c r="A102" s="23" t="s">
        <v>22</v>
      </c>
    </row>
    <row r="103" spans="1:1">
      <c r="A103" s="23" t="s">
        <v>28</v>
      </c>
    </row>
    <row r="104" spans="1:1">
      <c r="A104" s="23" t="s">
        <v>318</v>
      </c>
    </row>
    <row r="105" spans="1:1">
      <c r="A105" s="23" t="s">
        <v>326</v>
      </c>
    </row>
    <row r="106" spans="1:1">
      <c r="A106" s="23" t="s">
        <v>327</v>
      </c>
    </row>
    <row r="107" spans="1:1">
      <c r="A107" s="23" t="s">
        <v>328</v>
      </c>
    </row>
    <row r="111" spans="1:1" ht="25">
      <c r="A111" s="22" t="s">
        <v>329</v>
      </c>
    </row>
    <row r="113" spans="1:1">
      <c r="A113" t="s">
        <v>330</v>
      </c>
    </row>
    <row r="115" spans="1:1" ht="18.5">
      <c r="A115" s="26" t="s">
        <v>1</v>
      </c>
    </row>
    <row r="116" spans="1:1">
      <c r="A116" s="19"/>
    </row>
    <row r="117" spans="1:1">
      <c r="A117" s="19" t="s">
        <v>331</v>
      </c>
    </row>
    <row r="118" spans="1:1">
      <c r="A118" s="19"/>
    </row>
    <row r="119" spans="1:1">
      <c r="A119" s="19" t="s">
        <v>332</v>
      </c>
    </row>
    <row r="120" spans="1:1">
      <c r="A120" s="19"/>
    </row>
    <row r="121" spans="1:1">
      <c r="A121" s="19" t="s">
        <v>333</v>
      </c>
    </row>
    <row r="123" spans="1:1" ht="18.5">
      <c r="A123" s="26" t="s">
        <v>334</v>
      </c>
    </row>
    <row r="124" spans="1:1">
      <c r="A124" s="20"/>
    </row>
    <row r="125" spans="1:1">
      <c r="A125" s="23" t="s">
        <v>335</v>
      </c>
    </row>
    <row r="129" spans="1:1" ht="25">
      <c r="A129" s="22" t="s">
        <v>336</v>
      </c>
    </row>
    <row r="131" spans="1:1">
      <c r="A131" t="s">
        <v>337</v>
      </c>
    </row>
    <row r="133" spans="1:1" ht="18.5">
      <c r="A133" s="26" t="s">
        <v>1</v>
      </c>
    </row>
    <row r="134" spans="1:1">
      <c r="A134" s="19"/>
    </row>
    <row r="135" spans="1:1">
      <c r="A135" s="19" t="s">
        <v>338</v>
      </c>
    </row>
    <row r="136" spans="1:1">
      <c r="A136" s="19"/>
    </row>
    <row r="137" spans="1:1">
      <c r="A137" s="19" t="s">
        <v>339</v>
      </c>
    </row>
    <row r="138" spans="1:1">
      <c r="A138" s="19"/>
    </row>
    <row r="139" spans="1:1">
      <c r="A139" s="19" t="s">
        <v>340</v>
      </c>
    </row>
    <row r="140" spans="1:1">
      <c r="A140" s="19"/>
    </row>
    <row r="141" spans="1:1">
      <c r="A141" s="19" t="s">
        <v>341</v>
      </c>
    </row>
    <row r="143" spans="1:1" ht="18.5">
      <c r="A143" s="26" t="s">
        <v>334</v>
      </c>
    </row>
    <row r="144" spans="1:1">
      <c r="A144" s="20"/>
    </row>
    <row r="145" spans="1:1">
      <c r="A145" s="23" t="s">
        <v>342</v>
      </c>
    </row>
    <row r="149" spans="1:1" ht="25">
      <c r="A149" s="22" t="s">
        <v>343</v>
      </c>
    </row>
    <row r="151" spans="1:1">
      <c r="A151" t="s">
        <v>344</v>
      </c>
    </row>
    <row r="153" spans="1:1" ht="18.5">
      <c r="A153" s="26" t="s">
        <v>1</v>
      </c>
    </row>
    <row r="154" spans="1:1">
      <c r="A154" s="19"/>
    </row>
    <row r="155" spans="1:1">
      <c r="A155" s="19" t="s">
        <v>345</v>
      </c>
    </row>
    <row r="156" spans="1:1">
      <c r="A156" s="19"/>
    </row>
    <row r="157" spans="1:1">
      <c r="A157" s="19" t="s">
        <v>346</v>
      </c>
    </row>
    <row r="158" spans="1:1">
      <c r="A158" s="19"/>
    </row>
    <row r="159" spans="1:1">
      <c r="A159" s="19" t="s">
        <v>347</v>
      </c>
    </row>
    <row r="161" spans="1:1" ht="18.5">
      <c r="A161" s="26" t="s">
        <v>334</v>
      </c>
    </row>
    <row r="162" spans="1:1">
      <c r="A162" s="20"/>
    </row>
    <row r="163" spans="1:1">
      <c r="A163" s="23" t="s">
        <v>348</v>
      </c>
    </row>
    <row r="167" spans="1:1" ht="25">
      <c r="A167" s="22" t="s">
        <v>349</v>
      </c>
    </row>
    <row r="169" spans="1:1">
      <c r="A169" t="s">
        <v>350</v>
      </c>
    </row>
    <row r="171" spans="1:1" ht="18.5">
      <c r="A171" s="26" t="s">
        <v>1</v>
      </c>
    </row>
    <row r="172" spans="1:1">
      <c r="A172" s="19"/>
    </row>
    <row r="173" spans="1:1">
      <c r="A173" s="19" t="s">
        <v>351</v>
      </c>
    </row>
    <row r="174" spans="1:1">
      <c r="A174" s="19"/>
    </row>
    <row r="175" spans="1:1">
      <c r="A175" s="19" t="s">
        <v>352</v>
      </c>
    </row>
    <row r="176" spans="1:1">
      <c r="A176" s="19"/>
    </row>
    <row r="177" spans="1:1">
      <c r="A177" s="19" t="s">
        <v>353</v>
      </c>
    </row>
    <row r="179" spans="1:1" ht="18.5">
      <c r="A179" s="26" t="s">
        <v>334</v>
      </c>
    </row>
    <row r="180" spans="1:1">
      <c r="A180" s="20"/>
    </row>
    <row r="181" spans="1:1">
      <c r="A181" s="23" t="s">
        <v>354</v>
      </c>
    </row>
    <row r="185" spans="1:1" ht="25">
      <c r="A185" s="22" t="s">
        <v>355</v>
      </c>
    </row>
    <row r="187" spans="1:1">
      <c r="A187" t="s">
        <v>356</v>
      </c>
    </row>
    <row r="189" spans="1:1" ht="18.5">
      <c r="A189" s="26" t="s">
        <v>1</v>
      </c>
    </row>
    <row r="190" spans="1:1">
      <c r="A190" s="19"/>
    </row>
    <row r="191" spans="1:1">
      <c r="A191" s="19" t="s">
        <v>357</v>
      </c>
    </row>
    <row r="192" spans="1:1">
      <c r="A192" s="19"/>
    </row>
    <row r="193" spans="1:1">
      <c r="A193" s="19" t="s">
        <v>358</v>
      </c>
    </row>
    <row r="194" spans="1:1">
      <c r="A194" s="19"/>
    </row>
    <row r="195" spans="1:1">
      <c r="A195" s="19" t="s">
        <v>359</v>
      </c>
    </row>
    <row r="197" spans="1:1" ht="18.5">
      <c r="A197" s="26" t="s">
        <v>334</v>
      </c>
    </row>
    <row r="198" spans="1:1">
      <c r="A198" s="20"/>
    </row>
    <row r="199" spans="1:1">
      <c r="A199" s="23" t="s">
        <v>360</v>
      </c>
    </row>
    <row r="203" spans="1:1" ht="25">
      <c r="A203" s="22" t="s">
        <v>361</v>
      </c>
    </row>
    <row r="205" spans="1:1">
      <c r="A205" t="s">
        <v>362</v>
      </c>
    </row>
    <row r="207" spans="1:1" ht="18.5">
      <c r="A207" s="26" t="s">
        <v>1</v>
      </c>
    </row>
    <row r="208" spans="1:1">
      <c r="A208" s="19"/>
    </row>
    <row r="209" spans="1:1">
      <c r="A209" s="19" t="s">
        <v>363</v>
      </c>
    </row>
    <row r="210" spans="1:1">
      <c r="A210" s="19"/>
    </row>
    <row r="211" spans="1:1">
      <c r="A211" s="27" t="s">
        <v>364</v>
      </c>
    </row>
    <row r="212" spans="1:1">
      <c r="A212" s="19"/>
    </row>
    <row r="213" spans="1:1">
      <c r="A213" s="19" t="s">
        <v>365</v>
      </c>
    </row>
    <row r="215" spans="1:1" ht="18.5">
      <c r="A215" s="26" t="s">
        <v>366</v>
      </c>
    </row>
    <row r="217" spans="1:1">
      <c r="A217" s="28" t="s">
        <v>367</v>
      </c>
    </row>
    <row r="218" spans="1:1">
      <c r="A218" t="s">
        <v>368</v>
      </c>
    </row>
    <row r="220" spans="1:1">
      <c r="A220" s="18" t="s">
        <v>369</v>
      </c>
    </row>
    <row r="222" spans="1:1" ht="18.5">
      <c r="A222" s="26" t="s">
        <v>334</v>
      </c>
    </row>
    <row r="223" spans="1:1">
      <c r="A223" s="20"/>
    </row>
    <row r="224" spans="1:1">
      <c r="A224" s="23" t="s">
        <v>370</v>
      </c>
    </row>
    <row r="228" spans="1:1" ht="33.5">
      <c r="A228" s="21" t="s">
        <v>371</v>
      </c>
    </row>
    <row r="230" spans="1:1">
      <c r="A230" t="s">
        <v>372</v>
      </c>
    </row>
    <row r="232" spans="1:1">
      <c r="A232" t="s">
        <v>373</v>
      </c>
    </row>
    <row r="233" spans="1:1">
      <c r="A233" s="20"/>
    </row>
    <row r="234" spans="1:1">
      <c r="A234" s="23" t="s">
        <v>51</v>
      </c>
    </row>
    <row r="235" spans="1:1">
      <c r="A235" s="23" t="s">
        <v>317</v>
      </c>
    </row>
    <row r="236" spans="1:1">
      <c r="A236" s="23" t="s">
        <v>40</v>
      </c>
    </row>
    <row r="237" spans="1:1">
      <c r="A237" s="23" t="s">
        <v>34</v>
      </c>
    </row>
    <row r="238" spans="1:1">
      <c r="A238" s="23" t="s">
        <v>48</v>
      </c>
    </row>
    <row r="239" spans="1:1">
      <c r="A239" s="23" t="s">
        <v>45</v>
      </c>
    </row>
    <row r="240" spans="1:1">
      <c r="A240" s="23" t="s">
        <v>50</v>
      </c>
    </row>
    <row r="241" spans="1:1">
      <c r="A241" s="23" t="s">
        <v>319</v>
      </c>
    </row>
    <row r="243" spans="1:1">
      <c r="A243" t="s">
        <v>374</v>
      </c>
    </row>
    <row r="247" spans="1:1" ht="25">
      <c r="A247" s="22" t="s">
        <v>375</v>
      </c>
    </row>
    <row r="249" spans="1:1">
      <c r="A249" t="s">
        <v>376</v>
      </c>
    </row>
    <row r="251" spans="1:1" ht="18.5">
      <c r="A251" s="26" t="s">
        <v>1</v>
      </c>
    </row>
    <row r="252" spans="1:1">
      <c r="A252" s="19"/>
    </row>
    <row r="253" spans="1:1">
      <c r="A253" s="19" t="s">
        <v>377</v>
      </c>
    </row>
    <row r="254" spans="1:1">
      <c r="A254" s="19"/>
    </row>
    <row r="255" spans="1:1">
      <c r="A255" s="19" t="s">
        <v>378</v>
      </c>
    </row>
    <row r="256" spans="1:1">
      <c r="A256" s="20"/>
    </row>
    <row r="257" spans="1:1">
      <c r="A257" s="23" t="s">
        <v>379</v>
      </c>
    </row>
    <row r="261" spans="1:1" ht="25">
      <c r="A261" s="22" t="s">
        <v>380</v>
      </c>
    </row>
    <row r="263" spans="1:1">
      <c r="A263" t="s">
        <v>381</v>
      </c>
    </row>
    <row r="265" spans="1:1" ht="18.5">
      <c r="A265" s="26" t="s">
        <v>1</v>
      </c>
    </row>
    <row r="266" spans="1:1">
      <c r="A266" s="19"/>
    </row>
    <row r="267" spans="1:1">
      <c r="A267" s="19" t="s">
        <v>382</v>
      </c>
    </row>
    <row r="268" spans="1:1">
      <c r="A268" s="19"/>
    </row>
    <row r="269" spans="1:1">
      <c r="A269" s="19" t="s">
        <v>383</v>
      </c>
    </row>
    <row r="270" spans="1:1">
      <c r="A270" s="20"/>
    </row>
    <row r="271" spans="1:1">
      <c r="A271" s="23" t="s">
        <v>384</v>
      </c>
    </row>
    <row r="275" spans="1:1" ht="25">
      <c r="A275" s="22" t="s">
        <v>385</v>
      </c>
    </row>
    <row r="277" spans="1:1">
      <c r="A277" t="s">
        <v>386</v>
      </c>
    </row>
    <row r="278" spans="1:1">
      <c r="A278" s="20"/>
    </row>
    <row r="279" spans="1:1">
      <c r="A279" s="23" t="s">
        <v>387</v>
      </c>
    </row>
    <row r="283" spans="1:1" ht="25">
      <c r="A283" s="22" t="s">
        <v>388</v>
      </c>
    </row>
    <row r="285" spans="1:1">
      <c r="A285" t="s">
        <v>389</v>
      </c>
    </row>
    <row r="286" spans="1:1">
      <c r="A286" s="20"/>
    </row>
    <row r="287" spans="1:1">
      <c r="A287" s="23" t="s">
        <v>390</v>
      </c>
    </row>
    <row r="291" spans="1:1" ht="25">
      <c r="A291" s="22" t="s">
        <v>391</v>
      </c>
    </row>
    <row r="293" spans="1:1">
      <c r="A293" t="s">
        <v>392</v>
      </c>
    </row>
    <row r="294" spans="1:1">
      <c r="A294" s="20"/>
    </row>
    <row r="295" spans="1:1">
      <c r="A295" s="23" t="s">
        <v>393</v>
      </c>
    </row>
    <row r="299" spans="1:1" ht="25">
      <c r="A299" s="22" t="s">
        <v>394</v>
      </c>
    </row>
    <row r="301" spans="1:1">
      <c r="A301" t="s">
        <v>395</v>
      </c>
    </row>
    <row r="302" spans="1:1">
      <c r="A302" s="20"/>
    </row>
    <row r="303" spans="1:1">
      <c r="A303" s="23" t="s">
        <v>396</v>
      </c>
    </row>
    <row r="307" spans="1:1" ht="25">
      <c r="A307" s="22" t="s">
        <v>397</v>
      </c>
    </row>
    <row r="309" spans="1:1">
      <c r="A309" t="s">
        <v>398</v>
      </c>
    </row>
    <row r="311" spans="1:1" ht="18.5">
      <c r="A311" s="26" t="s">
        <v>399</v>
      </c>
    </row>
    <row r="313" spans="1:1">
      <c r="A313" t="s">
        <v>400</v>
      </c>
    </row>
    <row r="314" spans="1:1">
      <c r="A314" s="20"/>
    </row>
    <row r="315" spans="1:1">
      <c r="A315" s="23" t="s">
        <v>401</v>
      </c>
    </row>
    <row r="317" spans="1:1">
      <c r="A317" t="s">
        <v>402</v>
      </c>
    </row>
    <row r="318" spans="1:1">
      <c r="A318" s="19"/>
    </row>
    <row r="319" spans="1:1">
      <c r="A319" s="19" t="s">
        <v>403</v>
      </c>
    </row>
    <row r="320" spans="1:1">
      <c r="A320" s="19"/>
    </row>
    <row r="321" spans="1:1">
      <c r="A321" s="19" t="s">
        <v>404</v>
      </c>
    </row>
    <row r="322" spans="1:1">
      <c r="A322" s="19"/>
    </row>
    <row r="323" spans="1:1">
      <c r="A323" s="19" t="s">
        <v>405</v>
      </c>
    </row>
    <row r="325" spans="1:1" ht="18.5">
      <c r="A325" s="26" t="s">
        <v>334</v>
      </c>
    </row>
    <row r="326" spans="1:1">
      <c r="A326" s="19"/>
    </row>
    <row r="327" spans="1:1">
      <c r="A327" s="19" t="s">
        <v>242</v>
      </c>
    </row>
    <row r="331" spans="1:1" ht="25">
      <c r="A331" s="22" t="s">
        <v>406</v>
      </c>
    </row>
    <row r="333" spans="1:1">
      <c r="A333" t="s">
        <v>407</v>
      </c>
    </row>
    <row r="335" spans="1:1" ht="18.5">
      <c r="A335" s="26" t="s">
        <v>1</v>
      </c>
    </row>
    <row r="336" spans="1:1">
      <c r="A336" s="19"/>
    </row>
    <row r="337" spans="1:1">
      <c r="A337" s="19" t="s">
        <v>408</v>
      </c>
    </row>
    <row r="338" spans="1:1">
      <c r="A338" s="19"/>
    </row>
    <row r="339" spans="1:1">
      <c r="A339" s="19" t="s">
        <v>409</v>
      </c>
    </row>
    <row r="340" spans="1:1">
      <c r="A340" s="19"/>
    </row>
    <row r="341" spans="1:1">
      <c r="A341" s="19" t="s">
        <v>410</v>
      </c>
    </row>
    <row r="342" spans="1:1">
      <c r="A342" s="20"/>
    </row>
    <row r="343" spans="1:1">
      <c r="A343" s="23" t="s">
        <v>411</v>
      </c>
    </row>
    <row r="347" spans="1:1" ht="33.5">
      <c r="A347" s="21" t="s">
        <v>412</v>
      </c>
    </row>
    <row r="349" spans="1:1">
      <c r="A349" t="s">
        <v>413</v>
      </c>
    </row>
    <row r="351" spans="1:1" ht="25">
      <c r="A351" s="22" t="s">
        <v>414</v>
      </c>
    </row>
    <row r="353" spans="1:1" ht="18.5">
      <c r="A353" s="26" t="s">
        <v>415</v>
      </c>
    </row>
    <row r="355" spans="1:1">
      <c r="A355" t="s">
        <v>416</v>
      </c>
    </row>
    <row r="356" spans="1:1">
      <c r="A356" s="19"/>
    </row>
    <row r="357" spans="1:1">
      <c r="A357" s="29" t="s">
        <v>417</v>
      </c>
    </row>
    <row r="358" spans="1:1">
      <c r="A358" s="19"/>
    </row>
    <row r="359" spans="1:1">
      <c r="A359" s="29" t="s">
        <v>418</v>
      </c>
    </row>
    <row r="363" spans="1:1" ht="25">
      <c r="A363" s="22" t="s">
        <v>419</v>
      </c>
    </row>
    <row r="365" spans="1:1">
      <c r="A365" t="s">
        <v>296</v>
      </c>
    </row>
    <row r="366" spans="1:1">
      <c r="A366" s="19"/>
    </row>
    <row r="367" spans="1:1">
      <c r="A367" s="29" t="s">
        <v>420</v>
      </c>
    </row>
    <row r="368" spans="1:1">
      <c r="A368" s="19"/>
    </row>
    <row r="369" spans="1:1">
      <c r="A369" s="29" t="s">
        <v>421</v>
      </c>
    </row>
    <row r="370" spans="1:1">
      <c r="A370" s="19"/>
    </row>
    <row r="371" spans="1:1">
      <c r="A371" s="29" t="s">
        <v>422</v>
      </c>
    </row>
    <row r="372" spans="1:1">
      <c r="A372" s="19"/>
    </row>
    <row r="373" spans="1:1">
      <c r="A373" s="29" t="s">
        <v>423</v>
      </c>
    </row>
    <row r="374" spans="1:1">
      <c r="A374" s="19"/>
    </row>
    <row r="375" spans="1:1">
      <c r="A375" s="29" t="s">
        <v>424</v>
      </c>
    </row>
    <row r="379" spans="1:1" ht="25">
      <c r="A379" s="22" t="s">
        <v>425</v>
      </c>
    </row>
    <row r="381" spans="1:1">
      <c r="A381" t="s">
        <v>426</v>
      </c>
    </row>
    <row r="382" spans="1:1">
      <c r="A382" s="20"/>
    </row>
    <row r="383" spans="1:1">
      <c r="A383" s="23" t="s">
        <v>427</v>
      </c>
    </row>
    <row r="384" spans="1:1">
      <c r="A384" s="23" t="s">
        <v>384</v>
      </c>
    </row>
    <row r="386" spans="1:1">
      <c r="A386" t="s">
        <v>428</v>
      </c>
    </row>
    <row r="387" spans="1:1">
      <c r="A387" s="19"/>
    </row>
    <row r="388" spans="1:1">
      <c r="A388" s="19" t="s">
        <v>429</v>
      </c>
    </row>
    <row r="389" spans="1:1">
      <c r="A389" s="19"/>
    </row>
    <row r="390" spans="1:1">
      <c r="A390" s="19" t="s">
        <v>430</v>
      </c>
    </row>
    <row r="392" spans="1:1">
      <c r="A392" t="s">
        <v>431</v>
      </c>
    </row>
    <row r="396" spans="1:1" ht="33.5">
      <c r="A396" s="21" t="s">
        <v>432</v>
      </c>
    </row>
    <row r="398" spans="1:1" ht="25">
      <c r="A398" s="22" t="s">
        <v>433</v>
      </c>
    </row>
    <row r="399" spans="1:1">
      <c r="A399" s="20"/>
    </row>
    <row r="400" spans="1:1">
      <c r="A400" s="23" t="s">
        <v>434</v>
      </c>
    </row>
    <row r="401" spans="1:1">
      <c r="A401" s="23" t="s">
        <v>435</v>
      </c>
    </row>
    <row r="402" spans="1:1">
      <c r="A402" s="23" t="s">
        <v>436</v>
      </c>
    </row>
    <row r="403" spans="1:1">
      <c r="A403" s="23" t="s">
        <v>437</v>
      </c>
    </row>
    <row r="404" spans="1:1">
      <c r="A404" s="23" t="s">
        <v>438</v>
      </c>
    </row>
    <row r="405" spans="1:1">
      <c r="A405" s="23" t="s">
        <v>439</v>
      </c>
    </row>
    <row r="406" spans="1:1">
      <c r="A406" s="23" t="s">
        <v>440</v>
      </c>
    </row>
    <row r="407" spans="1:1">
      <c r="A407" s="23" t="s">
        <v>441</v>
      </c>
    </row>
    <row r="411" spans="1:1" ht="25">
      <c r="A411" s="22" t="s">
        <v>337</v>
      </c>
    </row>
    <row r="412" spans="1:1">
      <c r="A412" s="20"/>
    </row>
    <row r="413" spans="1:1">
      <c r="A413" s="23" t="s">
        <v>434</v>
      </c>
    </row>
    <row r="414" spans="1:1">
      <c r="A414" s="23" t="s">
        <v>442</v>
      </c>
    </row>
    <row r="415" spans="1:1">
      <c r="A415" s="23" t="s">
        <v>443</v>
      </c>
    </row>
    <row r="416" spans="1:1">
      <c r="A416" s="23" t="s">
        <v>437</v>
      </c>
    </row>
    <row r="417" spans="1:1">
      <c r="A417" s="23" t="s">
        <v>444</v>
      </c>
    </row>
    <row r="418" spans="1:1">
      <c r="A418" s="23" t="s">
        <v>445</v>
      </c>
    </row>
    <row r="419" spans="1:1">
      <c r="A419" s="23" t="s">
        <v>440</v>
      </c>
    </row>
    <row r="420" spans="1:1">
      <c r="A420" s="23" t="s">
        <v>441</v>
      </c>
    </row>
    <row r="424" spans="1:1" ht="25">
      <c r="A424" s="22" t="s">
        <v>446</v>
      </c>
    </row>
    <row r="425" spans="1:1">
      <c r="A425" s="20"/>
    </row>
    <row r="426" spans="1:1">
      <c r="A426" s="23" t="s">
        <v>434</v>
      </c>
    </row>
    <row r="427" spans="1:1">
      <c r="A427" s="23" t="s">
        <v>447</v>
      </c>
    </row>
    <row r="428" spans="1:1">
      <c r="A428" s="23" t="s">
        <v>448</v>
      </c>
    </row>
    <row r="429" spans="1:1">
      <c r="A429" s="23" t="s">
        <v>437</v>
      </c>
    </row>
    <row r="430" spans="1:1">
      <c r="A430" s="23" t="s">
        <v>438</v>
      </c>
    </row>
    <row r="431" spans="1:1">
      <c r="A431" s="23" t="s">
        <v>449</v>
      </c>
    </row>
    <row r="432" spans="1:1">
      <c r="A432" s="23" t="s">
        <v>450</v>
      </c>
    </row>
    <row r="433" spans="1:1">
      <c r="A433" s="23" t="s">
        <v>441</v>
      </c>
    </row>
    <row r="437" spans="1:1" ht="25">
      <c r="A437" s="22" t="s">
        <v>350</v>
      </c>
    </row>
    <row r="438" spans="1:1">
      <c r="A438" s="20"/>
    </row>
    <row r="439" spans="1:1">
      <c r="A439" s="23" t="s">
        <v>434</v>
      </c>
    </row>
    <row r="440" spans="1:1">
      <c r="A440" s="23" t="s">
        <v>451</v>
      </c>
    </row>
    <row r="441" spans="1:1">
      <c r="A441" s="23" t="s">
        <v>452</v>
      </c>
    </row>
    <row r="442" spans="1:1">
      <c r="A442" s="23" t="s">
        <v>437</v>
      </c>
    </row>
    <row r="443" spans="1:1">
      <c r="A443" s="23" t="s">
        <v>444</v>
      </c>
    </row>
    <row r="444" spans="1:1">
      <c r="A444" s="23" t="s">
        <v>453</v>
      </c>
    </row>
    <row r="445" spans="1:1">
      <c r="A445" s="23" t="s">
        <v>440</v>
      </c>
    </row>
    <row r="446" spans="1:1">
      <c r="A446" s="23" t="s">
        <v>441</v>
      </c>
    </row>
    <row r="450" spans="1:1" ht="25">
      <c r="A450" s="22" t="s">
        <v>356</v>
      </c>
    </row>
    <row r="451" spans="1:1">
      <c r="A451" s="20"/>
    </row>
    <row r="452" spans="1:1">
      <c r="A452" s="23" t="s">
        <v>434</v>
      </c>
    </row>
    <row r="453" spans="1:1">
      <c r="A453" s="23" t="s">
        <v>454</v>
      </c>
    </row>
    <row r="454" spans="1:1">
      <c r="A454" s="23" t="s">
        <v>455</v>
      </c>
    </row>
    <row r="455" spans="1:1">
      <c r="A455" s="23" t="s">
        <v>437</v>
      </c>
    </row>
    <row r="456" spans="1:1">
      <c r="A456" s="23" t="s">
        <v>456</v>
      </c>
    </row>
    <row r="457" spans="1:1">
      <c r="A457" s="23" t="s">
        <v>457</v>
      </c>
    </row>
    <row r="458" spans="1:1">
      <c r="A458" s="23" t="s">
        <v>440</v>
      </c>
    </row>
    <row r="459" spans="1:1">
      <c r="A459" s="23" t="s">
        <v>441</v>
      </c>
    </row>
    <row r="463" spans="1:1" ht="25">
      <c r="A463" s="22" t="s">
        <v>242</v>
      </c>
    </row>
    <row r="464" spans="1:1">
      <c r="A464" s="20"/>
    </row>
    <row r="465" spans="1:1">
      <c r="A465" s="23" t="s">
        <v>434</v>
      </c>
    </row>
    <row r="466" spans="1:1">
      <c r="A466" s="23" t="s">
        <v>458</v>
      </c>
    </row>
    <row r="467" spans="1:1">
      <c r="A467" s="23" t="s">
        <v>459</v>
      </c>
    </row>
    <row r="468" spans="1:1">
      <c r="A468" s="23" t="s">
        <v>437</v>
      </c>
    </row>
    <row r="469" spans="1:1">
      <c r="A469" s="23" t="s">
        <v>456</v>
      </c>
    </row>
    <row r="470" spans="1:1">
      <c r="A470" s="23" t="s">
        <v>460</v>
      </c>
    </row>
    <row r="471" spans="1:1">
      <c r="A471" s="23" t="s">
        <v>461</v>
      </c>
    </row>
    <row r="472" spans="1:1">
      <c r="A472" s="23" t="s">
        <v>441</v>
      </c>
    </row>
    <row r="474" spans="1:1">
      <c r="A474" t="s">
        <v>462</v>
      </c>
    </row>
    <row r="475" spans="1:1">
      <c r="A475" s="19"/>
    </row>
    <row r="476" spans="1:1">
      <c r="A476" s="19" t="s">
        <v>463</v>
      </c>
    </row>
    <row r="477" spans="1:1">
      <c r="A477" s="19"/>
    </row>
    <row r="478" spans="1:1">
      <c r="A478" s="19" t="s">
        <v>464</v>
      </c>
    </row>
    <row r="479" spans="1:1">
      <c r="A479" s="19"/>
    </row>
    <row r="480" spans="1:1">
      <c r="A480" s="19" t="s">
        <v>465</v>
      </c>
    </row>
    <row r="482" spans="1:1">
      <c r="A482" t="s">
        <v>466</v>
      </c>
    </row>
    <row r="486" spans="1:1" ht="25">
      <c r="A486" s="22" t="s">
        <v>467</v>
      </c>
    </row>
    <row r="487" spans="1:1">
      <c r="A487" s="20"/>
    </row>
    <row r="488" spans="1:1">
      <c r="A488" s="23" t="s">
        <v>434</v>
      </c>
    </row>
    <row r="489" spans="1:1">
      <c r="A489" s="23" t="s">
        <v>468</v>
      </c>
    </row>
    <row r="490" spans="1:1">
      <c r="A490" s="23" t="s">
        <v>469</v>
      </c>
    </row>
    <row r="491" spans="1:1">
      <c r="A491" s="23" t="s">
        <v>437</v>
      </c>
    </row>
    <row r="492" spans="1:1">
      <c r="A492" s="23" t="s">
        <v>438</v>
      </c>
    </row>
    <row r="493" spans="1:1">
      <c r="A493" s="23" t="s">
        <v>453</v>
      </c>
    </row>
    <row r="494" spans="1:1">
      <c r="A494" s="23" t="s">
        <v>470</v>
      </c>
    </row>
    <row r="495" spans="1:1">
      <c r="A495" s="23" t="s">
        <v>441</v>
      </c>
    </row>
    <row r="497" spans="1:3">
      <c r="A497" t="s">
        <v>471</v>
      </c>
    </row>
    <row r="498" spans="1:3">
      <c r="A498" s="20"/>
    </row>
    <row r="499" spans="1:3">
      <c r="A499" s="23" t="s">
        <v>472</v>
      </c>
    </row>
    <row r="500" spans="1:3">
      <c r="A500" s="23" t="s">
        <v>411</v>
      </c>
    </row>
    <row r="502" spans="1:3">
      <c r="A502" t="s">
        <v>473</v>
      </c>
    </row>
    <row r="506" spans="1:3" ht="33.5">
      <c r="A506" s="21" t="s">
        <v>474</v>
      </c>
    </row>
    <row r="508" spans="1:3" ht="25">
      <c r="A508" s="25" t="s">
        <v>475</v>
      </c>
    </row>
    <row r="510" spans="1:3" ht="43.5">
      <c r="A510" s="30" t="s">
        <v>15</v>
      </c>
      <c r="B510" s="30" t="s">
        <v>476</v>
      </c>
      <c r="C510" s="30" t="s">
        <v>477</v>
      </c>
    </row>
    <row r="511" spans="1:3">
      <c r="A511" s="31" t="s">
        <v>22</v>
      </c>
      <c r="B511" s="31" t="s">
        <v>478</v>
      </c>
      <c r="C511" s="31" t="s">
        <v>479</v>
      </c>
    </row>
    <row r="512" spans="1:3">
      <c r="A512" s="31" t="s">
        <v>28</v>
      </c>
      <c r="B512" s="31" t="s">
        <v>480</v>
      </c>
      <c r="C512" s="31" t="s">
        <v>479</v>
      </c>
    </row>
    <row r="513" spans="1:3" ht="43.5">
      <c r="A513" s="31" t="s">
        <v>318</v>
      </c>
      <c r="B513" s="31" t="s">
        <v>481</v>
      </c>
      <c r="C513" s="31" t="s">
        <v>482</v>
      </c>
    </row>
    <row r="514" spans="1:3" ht="43.5">
      <c r="A514" s="31" t="s">
        <v>326</v>
      </c>
      <c r="B514" s="31" t="s">
        <v>483</v>
      </c>
      <c r="C514" s="31" t="s">
        <v>484</v>
      </c>
    </row>
    <row r="515" spans="1:3" ht="29">
      <c r="A515" s="31" t="s">
        <v>327</v>
      </c>
      <c r="B515" s="31" t="s">
        <v>485</v>
      </c>
      <c r="C515" s="31" t="s">
        <v>486</v>
      </c>
    </row>
    <row r="516" spans="1:3" ht="58">
      <c r="A516" s="31" t="s">
        <v>328</v>
      </c>
      <c r="B516" s="31" t="s">
        <v>487</v>
      </c>
      <c r="C516" s="31" t="s">
        <v>488</v>
      </c>
    </row>
    <row r="519" spans="1:3" ht="25">
      <c r="A519" s="25" t="s">
        <v>489</v>
      </c>
    </row>
    <row r="521" spans="1:3" ht="43.5">
      <c r="A521" s="30" t="s">
        <v>14</v>
      </c>
      <c r="B521" s="30" t="s">
        <v>1</v>
      </c>
      <c r="C521" s="30" t="s">
        <v>490</v>
      </c>
    </row>
    <row r="522" spans="1:3" ht="29">
      <c r="A522" s="31" t="s">
        <v>51</v>
      </c>
      <c r="B522" s="31" t="s">
        <v>491</v>
      </c>
      <c r="C522" s="31" t="s">
        <v>479</v>
      </c>
    </row>
    <row r="523" spans="1:3" ht="29">
      <c r="A523" s="31" t="s">
        <v>317</v>
      </c>
      <c r="B523" s="31" t="s">
        <v>492</v>
      </c>
      <c r="C523" s="31" t="s">
        <v>479</v>
      </c>
    </row>
    <row r="524" spans="1:3">
      <c r="A524" s="31" t="s">
        <v>40</v>
      </c>
      <c r="B524" s="31" t="s">
        <v>493</v>
      </c>
      <c r="C524" s="31" t="s">
        <v>479</v>
      </c>
    </row>
    <row r="525" spans="1:3">
      <c r="A525" s="31" t="s">
        <v>34</v>
      </c>
      <c r="B525" s="31" t="s">
        <v>494</v>
      </c>
      <c r="C525" s="31" t="s">
        <v>479</v>
      </c>
    </row>
    <row r="526" spans="1:3" ht="29">
      <c r="A526" s="31" t="s">
        <v>48</v>
      </c>
      <c r="B526" s="31" t="s">
        <v>495</v>
      </c>
      <c r="C526" s="31" t="s">
        <v>479</v>
      </c>
    </row>
    <row r="527" spans="1:3" ht="29">
      <c r="A527" s="31" t="s">
        <v>45</v>
      </c>
      <c r="B527" s="31" t="s">
        <v>496</v>
      </c>
      <c r="C527" s="31" t="s">
        <v>479</v>
      </c>
    </row>
    <row r="528" spans="1:3" ht="29">
      <c r="A528" s="31" t="s">
        <v>319</v>
      </c>
      <c r="B528" s="31" t="s">
        <v>497</v>
      </c>
      <c r="C528" s="31" t="s">
        <v>498</v>
      </c>
    </row>
    <row r="529" spans="1:3" ht="29">
      <c r="A529" s="31" t="s">
        <v>50</v>
      </c>
      <c r="B529" s="31" t="s">
        <v>499</v>
      </c>
      <c r="C529" s="31" t="s">
        <v>500</v>
      </c>
    </row>
    <row r="532" spans="1:3" ht="33.5">
      <c r="A532" s="21" t="s">
        <v>501</v>
      </c>
    </row>
    <row r="534" spans="1:3" ht="25">
      <c r="A534" s="22" t="s">
        <v>502</v>
      </c>
    </row>
    <row r="536" spans="1:3">
      <c r="A536" s="24" t="s">
        <v>503</v>
      </c>
    </row>
    <row r="540" spans="1:3" ht="33.5">
      <c r="A540" s="21" t="s">
        <v>504</v>
      </c>
    </row>
    <row r="542" spans="1:3">
      <c r="A542" t="s">
        <v>505</v>
      </c>
    </row>
    <row r="544" spans="1:3" ht="18.5">
      <c r="A544" s="26" t="s">
        <v>506</v>
      </c>
    </row>
    <row r="545" spans="1:1">
      <c r="A545" s="20"/>
    </row>
    <row r="546" spans="1:1">
      <c r="A546" s="23" t="s">
        <v>507</v>
      </c>
    </row>
    <row r="548" spans="1:1" ht="18.5">
      <c r="A548" s="26" t="s">
        <v>362</v>
      </c>
    </row>
    <row r="549" spans="1:1">
      <c r="A549" s="20"/>
    </row>
    <row r="550" spans="1:1">
      <c r="A550" s="23" t="s">
        <v>328</v>
      </c>
    </row>
    <row r="552" spans="1:1" ht="18.5">
      <c r="A552" s="26" t="s">
        <v>508</v>
      </c>
    </row>
    <row r="553" spans="1:1">
      <c r="A553" s="20"/>
    </row>
    <row r="554" spans="1:1">
      <c r="A554" s="23" t="s">
        <v>401</v>
      </c>
    </row>
    <row r="558" spans="1:1" ht="33.5">
      <c r="A558" s="21" t="s">
        <v>509</v>
      </c>
    </row>
    <row r="559" spans="1:1">
      <c r="A559" s="20"/>
    </row>
    <row r="560" spans="1:1">
      <c r="A560" s="23" t="s">
        <v>510</v>
      </c>
    </row>
    <row r="561" spans="1:1">
      <c r="A561" s="23" t="s">
        <v>511</v>
      </c>
    </row>
    <row r="562" spans="1:1">
      <c r="A562" s="20"/>
    </row>
    <row r="563" spans="1:1">
      <c r="A563" s="23" t="s">
        <v>512</v>
      </c>
    </row>
    <row r="564" spans="1:1">
      <c r="A564" s="23" t="s">
        <v>513</v>
      </c>
    </row>
    <row r="568" spans="1:1">
      <c r="A568" t="s">
        <v>514</v>
      </c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4.5"/>
  <cols>
    <col min="1" max="1" width="28" customWidth="1"/>
    <col min="2" max="2" width="50" customWidth="1"/>
    <col min="3" max="3" width="18" customWidth="1"/>
  </cols>
  <sheetData>
    <row r="1" spans="1:3">
      <c r="A1" s="14" t="s">
        <v>252</v>
      </c>
      <c r="B1" s="14" t="s">
        <v>253</v>
      </c>
      <c r="C1" s="14" t="s">
        <v>254</v>
      </c>
    </row>
    <row r="2" spans="1:3">
      <c r="A2" s="15" t="s">
        <v>60</v>
      </c>
      <c r="B2" s="13" t="s">
        <v>255</v>
      </c>
      <c r="C2" s="13" t="s">
        <v>256</v>
      </c>
    </row>
    <row r="3" spans="1:3">
      <c r="A3" s="15" t="s">
        <v>61</v>
      </c>
      <c r="B3" s="13" t="s">
        <v>257</v>
      </c>
      <c r="C3" s="13" t="s">
        <v>256</v>
      </c>
    </row>
    <row r="4" spans="1:3">
      <c r="A4" s="15" t="s">
        <v>13</v>
      </c>
      <c r="B4" s="13" t="s">
        <v>258</v>
      </c>
      <c r="C4" s="13" t="s">
        <v>256</v>
      </c>
    </row>
    <row r="5" spans="1:3">
      <c r="A5" s="15" t="s">
        <v>14</v>
      </c>
      <c r="B5" s="13" t="s">
        <v>259</v>
      </c>
      <c r="C5" s="13" t="s">
        <v>256</v>
      </c>
    </row>
    <row r="6" spans="1:3">
      <c r="A6" s="15" t="s">
        <v>15</v>
      </c>
      <c r="B6" s="13" t="s">
        <v>260</v>
      </c>
      <c r="C6" s="13" t="s">
        <v>256</v>
      </c>
    </row>
    <row r="7" spans="1:3">
      <c r="A7" s="15" t="s">
        <v>63</v>
      </c>
      <c r="B7" s="13" t="s">
        <v>261</v>
      </c>
      <c r="C7" s="13" t="s">
        <v>256</v>
      </c>
    </row>
    <row r="8" spans="1:3">
      <c r="A8" s="15" t="s">
        <v>64</v>
      </c>
      <c r="B8" s="13" t="s">
        <v>262</v>
      </c>
      <c r="C8" s="13" t="s">
        <v>256</v>
      </c>
    </row>
    <row r="9" spans="1:3">
      <c r="A9" s="15" t="s">
        <v>65</v>
      </c>
      <c r="B9" s="13" t="s">
        <v>263</v>
      </c>
      <c r="C9" s="13" t="s">
        <v>19</v>
      </c>
    </row>
    <row r="10" spans="1:3">
      <c r="A10" s="15" t="s">
        <v>264</v>
      </c>
      <c r="B10" s="13" t="s">
        <v>265</v>
      </c>
      <c r="C10" s="13" t="s">
        <v>256</v>
      </c>
    </row>
    <row r="11" spans="1:3">
      <c r="A11" s="15" t="s">
        <v>266</v>
      </c>
      <c r="B11" s="13" t="s">
        <v>267</v>
      </c>
      <c r="C11" s="13" t="s">
        <v>268</v>
      </c>
    </row>
    <row r="12" spans="1:3">
      <c r="A12" s="15" t="s">
        <v>17</v>
      </c>
      <c r="B12" s="13" t="s">
        <v>269</v>
      </c>
      <c r="C12" s="13" t="s">
        <v>256</v>
      </c>
    </row>
    <row r="13" spans="1:3">
      <c r="A13" s="15" t="s">
        <v>73</v>
      </c>
      <c r="B13" s="13" t="s">
        <v>270</v>
      </c>
      <c r="C13" s="13" t="s">
        <v>256</v>
      </c>
    </row>
    <row r="14" spans="1:3">
      <c r="A14" s="15" t="s">
        <v>72</v>
      </c>
      <c r="B14" s="13" t="s">
        <v>271</v>
      </c>
      <c r="C14" s="13" t="s">
        <v>268</v>
      </c>
    </row>
    <row r="15" spans="1:3">
      <c r="A15" s="15" t="s">
        <v>74</v>
      </c>
      <c r="B15" s="13" t="s">
        <v>272</v>
      </c>
      <c r="C15" s="13" t="s">
        <v>256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lookups</vt:lpstr>
      <vt:lpstr>equipment_master</vt:lpstr>
      <vt:lpstr>export_ready</vt:lpstr>
      <vt:lpstr>工作表1</vt:lpstr>
      <vt:lpstr>field_map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仁豪 古</cp:lastModifiedBy>
  <dcterms:created xsi:type="dcterms:W3CDTF">2026-03-16T00:09:49Z</dcterms:created>
  <dcterms:modified xsi:type="dcterms:W3CDTF">2026-03-18T18:24:27Z</dcterms:modified>
</cp:coreProperties>
</file>